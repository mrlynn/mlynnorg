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109" codeName="{8C4F1C90-05EB-6A55-5F09-09C24B55AC0B}"/>
  <workbookPr codeName="ThisWorkbook"/>
  <mc:AlternateContent xmlns:mc="http://schemas.openxmlformats.org/markup-compatibility/2006">
    <mc:Choice Requires="x15">
      <x15ac:absPath xmlns:x15ac="http://schemas.microsoft.com/office/spreadsheetml/2010/11/ac" url="/Users/mlynn/gdrive/MongoDB/Recruiting/"/>
    </mc:Choice>
  </mc:AlternateContent>
  <bookViews>
    <workbookView xWindow="0" yWindow="460" windowWidth="50920" windowHeight="27360" activeTab="1"/>
  </bookViews>
  <sheets>
    <sheet name="Sheet1" sheetId="1" r:id="rId1"/>
    <sheet name="Rakesh 3-21" sheetId="3" r:id="rId2"/>
    <sheet name="Q&amp;A" sheetId="2" r:id="rId3"/>
  </sheets>
  <definedNames>
    <definedName name="alldata">Sheet1!$A$5:$Y$24</definedName>
    <definedName name="Categories">Sheet1!$E$1:$S$1</definedName>
    <definedName name="_xlnm.Print_Area" localSheetId="0">Sheet1!$A$1:$Y$39</definedName>
    <definedName name="uwrank">Sheet1!$V$5:$V$24</definedName>
    <definedName name="uwscore">Sheet1!$T$5:$T$24</definedName>
    <definedName name="wrank">Sheet1!$Y$5:$Y$24</definedName>
    <definedName name="wscore">Sheet1!$W$5:$W$24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32" i="3" l="1"/>
  <c r="W5" i="1"/>
  <c r="W4" i="1"/>
  <c r="X5" i="1"/>
  <c r="T5" i="1"/>
  <c r="T6" i="1"/>
  <c r="T9" i="1"/>
  <c r="T11" i="1"/>
  <c r="O36" i="1"/>
  <c r="P36" i="1"/>
  <c r="T19" i="1"/>
  <c r="O30" i="1"/>
  <c r="P30" i="1"/>
  <c r="Y24" i="1"/>
  <c r="A24" i="1"/>
  <c r="X24" i="1"/>
  <c r="W24" i="1"/>
  <c r="V24" i="1"/>
  <c r="U24" i="1"/>
  <c r="T24" i="1"/>
  <c r="Y23" i="1"/>
  <c r="A23" i="1"/>
  <c r="X23" i="1"/>
  <c r="W23" i="1"/>
  <c r="V23" i="1"/>
  <c r="U23" i="1"/>
  <c r="T23" i="1"/>
  <c r="Y22" i="1"/>
  <c r="A22" i="1"/>
  <c r="X22" i="1"/>
  <c r="W22" i="1"/>
  <c r="V22" i="1"/>
  <c r="U22" i="1"/>
  <c r="T22" i="1"/>
  <c r="Y21" i="1"/>
  <c r="A21" i="1"/>
  <c r="X21" i="1"/>
  <c r="W21" i="1"/>
  <c r="V21" i="1"/>
  <c r="U21" i="1"/>
  <c r="T21" i="1"/>
  <c r="Y20" i="1"/>
  <c r="A20" i="1"/>
  <c r="X20" i="1"/>
  <c r="W20" i="1"/>
  <c r="V20" i="1"/>
  <c r="U20" i="1"/>
  <c r="T20" i="1"/>
  <c r="W19" i="1"/>
  <c r="X19" i="1"/>
  <c r="U19" i="1"/>
  <c r="W18" i="1"/>
  <c r="R38" i="1"/>
  <c r="S38" i="1"/>
  <c r="T18" i="1"/>
  <c r="U18" i="1"/>
  <c r="W17" i="1"/>
  <c r="X17" i="1"/>
  <c r="T17" i="1"/>
  <c r="U17" i="1"/>
  <c r="W16" i="1"/>
  <c r="X16" i="1"/>
  <c r="T16" i="1"/>
  <c r="U16" i="1"/>
  <c r="W15" i="1"/>
  <c r="X15" i="1"/>
  <c r="T15" i="1"/>
  <c r="U15" i="1"/>
  <c r="W14" i="1"/>
  <c r="X14" i="1"/>
  <c r="T14" i="1"/>
  <c r="U14" i="1"/>
  <c r="Q12" i="1"/>
  <c r="T12" i="1"/>
  <c r="W13" i="1"/>
  <c r="X13" i="1"/>
  <c r="T13" i="1"/>
  <c r="U13" i="1"/>
  <c r="W11" i="1"/>
  <c r="X11" i="1"/>
  <c r="U11" i="1"/>
  <c r="W10" i="1"/>
  <c r="X10" i="1"/>
  <c r="T10" i="1"/>
  <c r="U10" i="1"/>
  <c r="W9" i="1"/>
  <c r="Q30" i="1"/>
  <c r="N30" i="1"/>
  <c r="W8" i="1"/>
  <c r="X8" i="1"/>
  <c r="T8" i="1"/>
  <c r="U8" i="1"/>
  <c r="W7" i="1"/>
  <c r="X7" i="1"/>
  <c r="R35" i="1"/>
  <c r="S35" i="1"/>
  <c r="T7" i="1"/>
  <c r="U7" i="1"/>
  <c r="O35" i="1"/>
  <c r="P35" i="1"/>
  <c r="W6" i="1"/>
  <c r="R28" i="1"/>
  <c r="S28" i="1"/>
  <c r="U6" i="1"/>
  <c r="O28" i="1"/>
  <c r="P28" i="1"/>
  <c r="R36" i="1"/>
  <c r="S36" i="1"/>
  <c r="U5" i="1"/>
  <c r="T4" i="1"/>
  <c r="R30" i="1"/>
  <c r="S30" i="1"/>
  <c r="Q28" i="1"/>
  <c r="X6" i="1"/>
  <c r="Q35" i="1"/>
  <c r="U9" i="1"/>
  <c r="X9" i="1"/>
  <c r="N36" i="1"/>
  <c r="N28" i="1"/>
  <c r="N35" i="1"/>
  <c r="Q36" i="1"/>
  <c r="X18" i="1"/>
  <c r="Q38" i="1"/>
  <c r="N38" i="1"/>
  <c r="O38" i="1"/>
  <c r="P38" i="1"/>
  <c r="U12" i="1"/>
  <c r="O37" i="1"/>
  <c r="P37" i="1"/>
  <c r="O29" i="1"/>
  <c r="P29" i="1"/>
  <c r="V15" i="1"/>
  <c r="V6" i="1"/>
  <c r="N29" i="1"/>
  <c r="N37" i="1"/>
  <c r="V16" i="1"/>
  <c r="V7" i="1"/>
  <c r="V18" i="1"/>
  <c r="V9" i="1"/>
  <c r="V19" i="1"/>
  <c r="V10" i="1"/>
  <c r="V11" i="1"/>
  <c r="V12" i="1"/>
  <c r="V13" i="1"/>
  <c r="V14" i="1"/>
  <c r="V5" i="1"/>
  <c r="V17" i="1"/>
  <c r="V8" i="1"/>
  <c r="W12" i="1"/>
  <c r="Q37" i="1"/>
  <c r="Q29" i="1"/>
  <c r="Y16" i="1"/>
  <c r="A16" i="1"/>
  <c r="Y11" i="1"/>
  <c r="A11" i="1"/>
  <c r="Y18" i="1"/>
  <c r="A18" i="1"/>
  <c r="Y9" i="1"/>
  <c r="A9" i="1"/>
  <c r="Y19" i="1"/>
  <c r="A19" i="1"/>
  <c r="Y10" i="1"/>
  <c r="A10" i="1"/>
  <c r="Y12" i="1"/>
  <c r="A12" i="1"/>
  <c r="Y13" i="1"/>
  <c r="A13" i="1"/>
  <c r="Y14" i="1"/>
  <c r="A14" i="1"/>
  <c r="X12" i="1"/>
  <c r="Y5" i="1"/>
  <c r="A5" i="1"/>
  <c r="R37" i="1"/>
  <c r="S37" i="1"/>
  <c r="R29" i="1"/>
  <c r="S29" i="1"/>
  <c r="Y15" i="1"/>
  <c r="A15" i="1"/>
  <c r="Y6" i="1"/>
  <c r="A6" i="1"/>
  <c r="Y7" i="1"/>
  <c r="A7" i="1"/>
  <c r="Y17" i="1"/>
  <c r="A17" i="1"/>
  <c r="Y8" i="1"/>
  <c r="A8" i="1"/>
  <c r="F35" i="1"/>
  <c r="F32" i="1"/>
  <c r="F34" i="1"/>
  <c r="F31" i="1"/>
  <c r="F30" i="1"/>
  <c r="F37" i="1"/>
  <c r="F33" i="1"/>
  <c r="F29" i="1"/>
  <c r="H28" i="1"/>
  <c r="F36" i="1"/>
  <c r="F28" i="1"/>
  <c r="H29" i="1"/>
  <c r="I28" i="1"/>
  <c r="H30" i="1"/>
  <c r="I29" i="1"/>
  <c r="H31" i="1"/>
  <c r="I30" i="1"/>
  <c r="H32" i="1"/>
  <c r="I31" i="1"/>
  <c r="H33" i="1"/>
  <c r="I32" i="1"/>
  <c r="I33" i="1"/>
  <c r="H34" i="1"/>
  <c r="H35" i="1"/>
  <c r="I34" i="1"/>
  <c r="H36" i="1"/>
  <c r="I35" i="1"/>
  <c r="H37" i="1"/>
  <c r="I37" i="1"/>
  <c r="I36" i="1"/>
</calcChain>
</file>

<file path=xl/comments1.xml><?xml version="1.0" encoding="utf-8"?>
<comments xmlns="http://schemas.openxmlformats.org/spreadsheetml/2006/main">
  <authors>
    <author>Michael Lynn</author>
  </authors>
  <commentList>
    <comment ref="E3" authorId="0">
      <text>
        <r>
          <rPr>
            <b/>
            <sz val="9"/>
            <color indexed="81"/>
            <rFont val="Tahoma"/>
            <family val="2"/>
          </rPr>
          <t>Michael Lynn:</t>
        </r>
        <r>
          <rPr>
            <sz val="9"/>
            <color indexed="81"/>
            <rFont val="Tahoma"/>
            <family val="2"/>
          </rPr>
          <t xml:space="preserve">
These weights apply to the areas of execution above.  These weights are optional and can be left at a value of 10 if you believe the importance of each of these attributes is equal.</t>
        </r>
      </text>
    </comment>
  </commentList>
</comments>
</file>

<file path=xl/sharedStrings.xml><?xml version="1.0" encoding="utf-8"?>
<sst xmlns="http://schemas.openxmlformats.org/spreadsheetml/2006/main" count="245" uniqueCount="142">
  <si>
    <t>Employee</t>
  </si>
  <si>
    <t>Discipline</t>
  </si>
  <si>
    <t>Proactivity</t>
  </si>
  <si>
    <t>Conflict Resolution</t>
  </si>
  <si>
    <t>Teamwork</t>
  </si>
  <si>
    <t>Score</t>
  </si>
  <si>
    <t>Rank</t>
  </si>
  <si>
    <t>Wt.</t>
  </si>
  <si>
    <t>Weighted Score</t>
  </si>
  <si>
    <t>%</t>
  </si>
  <si>
    <t>Unweighted</t>
  </si>
  <si>
    <t>out of</t>
  </si>
  <si>
    <t>Total UW</t>
  </si>
  <si>
    <t>Pct UW</t>
  </si>
  <si>
    <t>Total Wt.</t>
  </si>
  <si>
    <t>Avg. Wt.</t>
  </si>
  <si>
    <t>Pct Wt.</t>
  </si>
  <si>
    <t>Bottom 10</t>
  </si>
  <si>
    <t>Top 10</t>
  </si>
  <si>
    <t>Title</t>
  </si>
  <si>
    <t>Totals By Discipline</t>
  </si>
  <si>
    <t>Totals by Title</t>
  </si>
  <si>
    <t>Avg. UW</t>
  </si>
  <si>
    <t>Final Rankings (Weighted)</t>
  </si>
  <si>
    <t>Batman</t>
  </si>
  <si>
    <t>Sr. Hero</t>
  </si>
  <si>
    <t>Hero</t>
  </si>
  <si>
    <t>Principle Hero</t>
  </si>
  <si>
    <t>Specialist Hero</t>
  </si>
  <si>
    <t>Drinks Responsibly</t>
  </si>
  <si>
    <t>Timeliness</t>
  </si>
  <si>
    <t>Weapons</t>
  </si>
  <si>
    <t>Strength</t>
  </si>
  <si>
    <t>Acrobatics</t>
  </si>
  <si>
    <t>Knowledge of MongoDB</t>
  </si>
  <si>
    <t>Knowledge of Sales</t>
  </si>
  <si>
    <t>Personality</t>
  </si>
  <si>
    <t>Architecture</t>
  </si>
  <si>
    <t>High Availability</t>
  </si>
  <si>
    <t>Sharding</t>
  </si>
  <si>
    <t>Basic Commands</t>
  </si>
  <si>
    <t>Understands Value Based Selling</t>
  </si>
  <si>
    <t>Experience with Pre-Sales</t>
  </si>
  <si>
    <t>Sell me on MongoDB from a tech perspective</t>
  </si>
  <si>
    <t>Development / Tech</t>
  </si>
  <si>
    <t>Development Skills</t>
  </si>
  <si>
    <t>Alternate Database knowledge</t>
  </si>
  <si>
    <t>Category</t>
  </si>
  <si>
    <t>How would you rate yourself in terms of technical knowledge of MongodB?</t>
  </si>
  <si>
    <t>How does MongoDB Scale?</t>
  </si>
  <si>
    <t>How does MongoDB Provide High Availability?</t>
  </si>
  <si>
    <t>What is the oplog and what is it used for?</t>
  </si>
  <si>
    <t>Does MongoDB support joins?</t>
  </si>
  <si>
    <t>Have you worked in Pre-Sales previously?</t>
  </si>
  <si>
    <t>Describe for me a great first meeting with a customer</t>
  </si>
  <si>
    <t>Have you been responsible for purchase recommendations or architecture decisions?</t>
  </si>
  <si>
    <t>Notes</t>
  </si>
  <si>
    <t>Try to get some idea that the person understands what discovery is… without leading.</t>
  </si>
  <si>
    <t>Should be obvious from background but let's learn.</t>
  </si>
  <si>
    <t>Softball - they should know this but also should be able to expand on the answer</t>
  </si>
  <si>
    <t>Tell me about a time you worked with a challenging salesperson - what happened, how did you handle the situation?</t>
  </si>
  <si>
    <t>If they haven'ted worked in pre-sales, change salesperson to vendor.  If they haven't worked with vendors, why are you talking with them?</t>
  </si>
  <si>
    <t>Let's find out how much of a developer mindset they have.</t>
  </si>
  <si>
    <t>What is the last project you worked on where you had to develop (code) something - tell me about it.  Who created the requirements?  How did you ensure that the requirements were satisfied as you continued through the stages of development?</t>
  </si>
  <si>
    <t>Sales</t>
  </si>
  <si>
    <t>MongoDB</t>
  </si>
  <si>
    <t>Sell me on MongoDB from a technical perspective.</t>
  </si>
  <si>
    <t>Pick any other competing technology (relational, sql server, postgres, redis, anything) and ask them to defend MongoDB against this competitor.</t>
  </si>
  <si>
    <t>Developer/DBA</t>
  </si>
  <si>
    <t>###</t>
  </si>
  <si>
    <t>Question</t>
  </si>
  <si>
    <t>It's ok if they aren't.  It's ok if they are… just want to make sure we have someone who's familiar with something related.</t>
  </si>
  <si>
    <t>Cassandra / Couchbase</t>
  </si>
  <si>
    <t>How familiar are you with Oracle, SQL Server?</t>
  </si>
  <si>
    <t>Postgres, MySQL</t>
  </si>
  <si>
    <t>Cassandra, Couchbase, Datastax, Marklogic</t>
  </si>
  <si>
    <t>They should have at least one/two of these… if none - rate a 1</t>
  </si>
  <si>
    <t>Competitors</t>
  </si>
  <si>
    <t>You're in a meeting - first time with this customer and there's an architect responsible for determining the database platforms that get used at this customer's company.  He's explaining to you that he knows that MongoDB is not going to work here because it doesn't scale, it uses Postgres under the covers, and/or he read some blog articles that talk about how insecure it is.  What do you do?</t>
  </si>
  <si>
    <t>Interviewer Notes</t>
  </si>
  <si>
    <t>Answer Notes</t>
  </si>
  <si>
    <t>Does MongoDB support joins? How?  If not, why not?</t>
  </si>
  <si>
    <t>Personality / General</t>
  </si>
  <si>
    <t>Have they done homework?  Are they prepared?</t>
  </si>
  <si>
    <t>What do you know about MongoDB?  Who is our founder?  What is our story?</t>
  </si>
  <si>
    <t>What are your hobbies?  What do you do outside of tech or the work setting?</t>
  </si>
  <si>
    <t>All work and no play makes jack a dull pre-sales engineer</t>
  </si>
  <si>
    <t>Tie Breakers - Extra Credit</t>
  </si>
  <si>
    <t xml:space="preserve">It's Thursday and we've just received a call from a super important pre-sales customer.  We've got your travel and accomodations booked and need you to </t>
  </si>
  <si>
    <t>How many planes are in the air over australia right now?</t>
  </si>
  <si>
    <t>What's the process they use to come up with the answer… can they think on their feet?</t>
  </si>
  <si>
    <t>What's your biggest fear?</t>
  </si>
  <si>
    <t>Why do you want to work at MongoDB?</t>
  </si>
  <si>
    <t>When should you use MongoDB over relational?</t>
  </si>
  <si>
    <t>Background</t>
  </si>
  <si>
    <t>Tell me about your background</t>
  </si>
  <si>
    <t>9 years with the same team.</t>
  </si>
  <si>
    <t>Don't develop a lot… c# scripting.  3d models in android.</t>
  </si>
  <si>
    <t>Lead pre-sales for 4 of the 9 products I sell.  Java, EJB's, Web Services, JMS, etc.</t>
  </si>
  <si>
    <t>Why do you want to leave?</t>
  </si>
  <si>
    <t>Why is RDBMS not a great solution today?</t>
  </si>
  <si>
    <t>Want to be working at a transformational company.  My customers are wanting to move to noSQL - I want to be in that space.  I want to be able to coach companies on how to leverage this transformational technologies.</t>
  </si>
  <si>
    <t>Who are we competing with?</t>
  </si>
  <si>
    <t>Common names are MongoDB - Hadoop, hive, Cassandra.  RavenDB - Marklogic, couchbase - Dynamodb / AWS… BaaS - firebase.</t>
  </si>
  <si>
    <t xml:space="preserve">Example - Games… Millions of customers… under armor… using relational database.  Autosharding - sharding horizontal cuts… could be across.  Reading the answer… </t>
  </si>
  <si>
    <t>Yes</t>
  </si>
  <si>
    <t>If the data is going to be unstructured… from a business standpoint - you want to be flexible, fast, iterative.  Developer's hat - I have to maintain geospatial indexes, etc.  Working on a time-sprint, just want to get started coding.  Gave an example of an APP he wrote for Airport's wifi codes in AsiaPAC...  Great answer</t>
  </si>
  <si>
    <t>Tell me about a time you worked with a challenging customer?</t>
  </si>
  <si>
    <t>We sell devops… all our customers are difficult.   The priority is not with my solutions.  They have 15 things to take care of prior to coming to me.  Our average sales cycle is 9 months.  Government agencies is up to 2 years.</t>
  </si>
  <si>
    <t>Not super familiar</t>
  </si>
  <si>
    <t>Reading his answer from google.</t>
  </si>
  <si>
    <t>Have you worked with Sales Methodology</t>
  </si>
  <si>
    <t>We work with value based selling.  We don't sell product - we sell solutions to problems.</t>
  </si>
  <si>
    <t>We don't do a demo and then a POC.  We need to discover their KPI's - what their SPEND is - what they're trying to achieve.  It's about tying everything back to the Business.</t>
  </si>
  <si>
    <t>How does the candidate think?</t>
  </si>
  <si>
    <t xml:space="preserve">They've got a perspective… it's about how you can make it meet and work.  Pre-sales should be able to get along with the sales person.  </t>
  </si>
  <si>
    <t>Example from airports with wifi</t>
  </si>
  <si>
    <t>Interviewee Questions</t>
  </si>
  <si>
    <t>How does the MongoDB sales cycle work?</t>
  </si>
  <si>
    <t>Where are you in your decision?</t>
  </si>
  <si>
    <t>Very excited… I want to move forward with MongoDB</t>
  </si>
  <si>
    <t>Clearly grasped this concept</t>
  </si>
  <si>
    <t>Clearly has a pre-sales mindset - skipped this question.</t>
  </si>
  <si>
    <t>Didn't ask</t>
  </si>
  <si>
    <t>Didn't have specifics.</t>
  </si>
  <si>
    <t>Great pre-sales mentality.  Willing to do what it takes immediately to solve challenges</t>
  </si>
  <si>
    <t>What languages are you most familiar with</t>
  </si>
  <si>
    <t>What other technologies are you most familiar with?</t>
  </si>
  <si>
    <t>Good question - I like that he's thinking about what life will be for him in the role.</t>
  </si>
  <si>
    <t>Drawn to the iot use case… how often do you see this out there.  This is something I'd like to get more involved in.</t>
  </si>
  <si>
    <t>I explained that we see maybe 15% of the opps coming in with something related to iot.  I also explained the concept of hackathons and that this could be something he works on in free time when he comes up to speed.</t>
  </si>
  <si>
    <t>What will my life be like for me in this role?</t>
  </si>
  <si>
    <t>Great question - I gave him a day in the life.  He seemed really enthusiastic with the response.</t>
  </si>
  <si>
    <t>Used to be a power lifter.  Body Building.  Biggest passion outside of tech is body building.  Gardening.  Really enjoy creating 3d models.  Python.  Was starting to think he read my bio and was b.s'ing - but he talked at length about his experience… pretty impressive.</t>
  </si>
  <si>
    <t>Standard</t>
  </si>
  <si>
    <t>Is this person a developer - are they in tune with recent frameworks and development methodologies?</t>
  </si>
  <si>
    <t>Is this person not a developer - but perhaps a devops, dba, engineer?  Can they have a conversation with our primary lower-level contacts to help us gain traction and move upward in an account?</t>
  </si>
  <si>
    <t>Boredom - need a challenge - enjoy what I do but want to do something more interesting.  Been doing the same thing for 9 years.</t>
  </si>
  <si>
    <t>Working in the devops space you can't avoid these.  But less and less these days - see nosql more than these.</t>
  </si>
  <si>
    <t>Same</t>
  </si>
  <si>
    <t>Understands in theory - felt like he was reading this from google.</t>
  </si>
  <si>
    <t>Understands in theory - nosql - document and key values.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</si>
</sst>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_(* \(#,##0.00\);_(* &quot;-&quot;??_);_(@_)"/>
  </numFmts>
  <fonts count="14" x14ac:knownFonts="1">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0"/>
      <name val="Calibri"/>
      <family val="2"/>
      <scheme val="minor"/>
    </font>
    <font>
      <b/>
      <sz val="9"/>
      <color theme="0"/>
      <name val="Calibri"/>
      <family val="2"/>
      <scheme val="minor"/>
    </font>
    <font>
      <b/>
      <sz val="14"/>
      <color theme="0"/>
      <name val="Calibri"/>
      <family val="2"/>
      <scheme val="minor"/>
    </font>
    <font>
      <b/>
      <sz val="14"/>
      <color theme="1"/>
      <name val="Calibri"/>
      <family val="2"/>
      <scheme val="minor"/>
    </font>
    <font>
      <b/>
      <sz val="8"/>
      <color rgb="FF000000"/>
      <name val="Calibri"/>
    </font>
    <font>
      <sz val="11"/>
      <color rgb="FF000000"/>
      <name val="Calibri"/>
    </font>
    <font>
      <u/>
      <sz val="11"/>
      <color theme="10"/>
      <name val="Calibri"/>
      <family val="2"/>
      <scheme val="minor"/>
    </font>
    <font>
      <u/>
      <sz val="11"/>
      <color theme="1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rgb="FF3BA53F"/>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medium">
        <color auto="1"/>
      </right>
      <top style="medium">
        <color auto="1"/>
      </top>
      <bottom style="hair">
        <color auto="1"/>
      </bottom>
      <diagonal/>
    </border>
    <border>
      <left/>
      <right style="medium">
        <color auto="1"/>
      </right>
      <top style="hair">
        <color auto="1"/>
      </top>
      <bottom style="hair">
        <color auto="1"/>
      </bottom>
      <diagonal/>
    </border>
    <border>
      <left/>
      <right style="medium">
        <color auto="1"/>
      </right>
      <top style="hair">
        <color auto="1"/>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hair">
        <color auto="1"/>
      </left>
      <right style="medium">
        <color auto="1"/>
      </right>
      <top/>
      <bottom/>
      <diagonal/>
    </border>
    <border>
      <left style="hair">
        <color auto="1"/>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right style="medium">
        <color auto="1"/>
      </right>
      <top style="medium">
        <color auto="1"/>
      </top>
      <bottom/>
      <diagonal/>
    </border>
    <border>
      <left/>
      <right style="medium">
        <color auto="1"/>
      </right>
      <top/>
      <bottom/>
      <diagonal/>
    </border>
    <border>
      <left/>
      <right style="hair">
        <color auto="1"/>
      </right>
      <top/>
      <bottom/>
      <diagonal/>
    </border>
    <border>
      <left/>
      <right style="hair">
        <color auto="1"/>
      </right>
      <top/>
      <bottom style="medium">
        <color auto="1"/>
      </bottom>
      <diagonal/>
    </border>
    <border>
      <left/>
      <right style="hair">
        <color auto="1"/>
      </right>
      <top style="medium">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medium">
        <color auto="1"/>
      </bottom>
      <diagonal/>
    </border>
  </borders>
  <cellStyleXfs count="13">
    <xf numFmtId="0" fontId="0" fillId="0" borderId="0"/>
    <xf numFmtId="9" fontId="1" fillId="0" borderId="0" applyFont="0" applyFill="0" applyBorder="0" applyAlignment="0" applyProtection="0"/>
    <xf numFmtId="43" fontId="1" fillId="0" borderId="0" applyFon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cellStyleXfs>
  <cellXfs count="81">
    <xf numFmtId="0" fontId="0" fillId="0" borderId="0" xfId="0"/>
    <xf numFmtId="0" fontId="0" fillId="0" borderId="0" xfId="0" applyAlignment="1">
      <alignment horizontal="center"/>
    </xf>
    <xf numFmtId="0" fontId="0" fillId="2" borderId="0" xfId="0" applyFill="1"/>
    <xf numFmtId="0" fontId="0" fillId="2" borderId="0" xfId="0" applyFill="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4" xfId="0" applyFill="1" applyBorder="1" applyAlignment="1">
      <alignment horizontal="center"/>
    </xf>
    <xf numFmtId="0" fontId="0" fillId="2" borderId="15"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20" xfId="0" applyFill="1" applyBorder="1"/>
    <xf numFmtId="0" fontId="0" fillId="2" borderId="21" xfId="0" applyFill="1" applyBorder="1"/>
    <xf numFmtId="0" fontId="0" fillId="2" borderId="22" xfId="0" applyFill="1" applyBorder="1"/>
    <xf numFmtId="0" fontId="0" fillId="2" borderId="13" xfId="0" applyFill="1" applyBorder="1" applyAlignment="1">
      <alignment horizontal="center"/>
    </xf>
    <xf numFmtId="0" fontId="0" fillId="2" borderId="16" xfId="0" applyFill="1" applyBorder="1" applyAlignment="1">
      <alignment horizontal="center"/>
    </xf>
    <xf numFmtId="0" fontId="0" fillId="2" borderId="19"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2" borderId="10" xfId="0" applyFill="1" applyBorder="1" applyAlignment="1">
      <alignment horizontal="center"/>
    </xf>
    <xf numFmtId="0" fontId="0" fillId="2" borderId="20" xfId="0" applyFill="1" applyBorder="1" applyAlignment="1">
      <alignment horizontal="center"/>
    </xf>
    <xf numFmtId="0" fontId="0" fillId="2" borderId="21" xfId="0" applyFill="1" applyBorder="1" applyAlignment="1">
      <alignment horizontal="center"/>
    </xf>
    <xf numFmtId="0" fontId="0" fillId="2" borderId="22" xfId="0" applyFill="1" applyBorder="1" applyAlignment="1">
      <alignment horizontal="center"/>
    </xf>
    <xf numFmtId="9" fontId="0" fillId="2" borderId="8" xfId="1" applyFont="1" applyFill="1" applyBorder="1" applyAlignment="1">
      <alignment horizontal="center"/>
    </xf>
    <xf numFmtId="9" fontId="0" fillId="2" borderId="9" xfId="1" applyFont="1" applyFill="1" applyBorder="1" applyAlignment="1">
      <alignment horizontal="center"/>
    </xf>
    <xf numFmtId="9" fontId="0" fillId="2" borderId="10" xfId="1" applyFont="1" applyFill="1" applyBorder="1" applyAlignment="1">
      <alignment horizontal="center"/>
    </xf>
    <xf numFmtId="9" fontId="0" fillId="2" borderId="0" xfId="1" applyFont="1" applyFill="1"/>
    <xf numFmtId="9" fontId="0" fillId="0" borderId="0" xfId="1" applyFont="1"/>
    <xf numFmtId="9" fontId="0" fillId="2" borderId="0" xfId="1" applyFont="1" applyFill="1" applyAlignment="1">
      <alignment horizontal="center"/>
    </xf>
    <xf numFmtId="9" fontId="0" fillId="0" borderId="0" xfId="1" applyFont="1" applyAlignment="1">
      <alignment horizontal="center"/>
    </xf>
    <xf numFmtId="0" fontId="5" fillId="3" borderId="6" xfId="0" applyFont="1" applyFill="1" applyBorder="1" applyAlignment="1">
      <alignment vertical="center"/>
    </xf>
    <xf numFmtId="0" fontId="5" fillId="3" borderId="7" xfId="0" applyFont="1" applyFill="1" applyBorder="1" applyAlignment="1">
      <alignment vertical="center"/>
    </xf>
    <xf numFmtId="0" fontId="5" fillId="3" borderId="23" xfId="0" applyFont="1" applyFill="1" applyBorder="1" applyAlignment="1">
      <alignment horizontal="center" vertical="center"/>
    </xf>
    <xf numFmtId="0" fontId="5" fillId="3" borderId="28" xfId="0" applyFont="1" applyFill="1" applyBorder="1" applyAlignment="1">
      <alignment horizontal="center" vertical="center"/>
    </xf>
    <xf numFmtId="0" fontId="2" fillId="2" borderId="1" xfId="0" applyFont="1" applyFill="1" applyBorder="1" applyAlignment="1">
      <alignment horizontal="center" vertical="top"/>
    </xf>
    <xf numFmtId="0" fontId="2" fillId="2" borderId="0" xfId="0" applyFont="1" applyFill="1" applyAlignment="1">
      <alignment horizontal="center"/>
    </xf>
    <xf numFmtId="0" fontId="2" fillId="2" borderId="0" xfId="0" applyFont="1" applyFill="1" applyAlignment="1">
      <alignment horizontal="right"/>
    </xf>
    <xf numFmtId="0" fontId="2" fillId="2" borderId="0" xfId="0" applyFont="1" applyFill="1" applyAlignment="1">
      <alignment horizontal="center" wrapText="1"/>
    </xf>
    <xf numFmtId="0" fontId="0" fillId="2" borderId="29" xfId="0" applyFill="1" applyBorder="1" applyAlignment="1">
      <alignment horizontal="center"/>
    </xf>
    <xf numFmtId="43" fontId="0" fillId="2" borderId="30" xfId="2" applyFont="1" applyFill="1" applyBorder="1" applyAlignment="1">
      <alignment horizontal="center"/>
    </xf>
    <xf numFmtId="9" fontId="0" fillId="2" borderId="30" xfId="1" applyFont="1" applyFill="1" applyBorder="1" applyAlignment="1">
      <alignment horizontal="center"/>
    </xf>
    <xf numFmtId="0" fontId="0" fillId="2" borderId="30" xfId="0" applyFill="1" applyBorder="1" applyAlignment="1">
      <alignment horizontal="center"/>
    </xf>
    <xf numFmtId="0" fontId="0" fillId="2" borderId="31" xfId="0" applyFill="1" applyBorder="1" applyAlignment="1">
      <alignment horizontal="center"/>
    </xf>
    <xf numFmtId="43" fontId="0" fillId="2" borderId="0" xfId="2" applyFont="1" applyFill="1" applyBorder="1" applyAlignment="1">
      <alignment horizontal="center"/>
    </xf>
    <xf numFmtId="9" fontId="0" fillId="2" borderId="0" xfId="1" applyFont="1" applyFill="1" applyBorder="1" applyAlignment="1">
      <alignment horizontal="center"/>
    </xf>
    <xf numFmtId="0" fontId="0" fillId="2" borderId="0" xfId="0" applyFill="1" applyBorder="1" applyAlignment="1">
      <alignment horizontal="center"/>
    </xf>
    <xf numFmtId="0" fontId="2" fillId="2" borderId="5" xfId="0" applyFont="1" applyFill="1" applyBorder="1" applyAlignment="1">
      <alignment horizontal="center" vertical="top"/>
    </xf>
    <xf numFmtId="0" fontId="0" fillId="2" borderId="36" xfId="0" applyFill="1" applyBorder="1" applyAlignment="1">
      <alignment horizontal="center"/>
    </xf>
    <xf numFmtId="0" fontId="0" fillId="2" borderId="37" xfId="0" applyFill="1" applyBorder="1" applyAlignment="1">
      <alignment horizontal="center"/>
    </xf>
    <xf numFmtId="0" fontId="0" fillId="2" borderId="38" xfId="0" applyFill="1" applyBorder="1" applyAlignment="1">
      <alignment horizontal="center"/>
    </xf>
    <xf numFmtId="0" fontId="2" fillId="2" borderId="2" xfId="0" applyFont="1" applyFill="1" applyBorder="1" applyAlignment="1">
      <alignment horizontal="center"/>
    </xf>
    <xf numFmtId="0" fontId="0" fillId="2" borderId="0" xfId="0" applyFill="1" applyBorder="1"/>
    <xf numFmtId="0" fontId="0" fillId="2" borderId="32" xfId="0" applyFill="1" applyBorder="1" applyAlignment="1">
      <alignment horizontal="center"/>
    </xf>
    <xf numFmtId="0" fontId="0" fillId="2" borderId="33" xfId="0" applyFill="1" applyBorder="1" applyAlignment="1">
      <alignment horizontal="center"/>
    </xf>
    <xf numFmtId="0" fontId="2" fillId="2" borderId="2" xfId="0" applyFont="1" applyFill="1" applyBorder="1" applyAlignment="1">
      <alignment horizontal="center"/>
    </xf>
    <xf numFmtId="0" fontId="9" fillId="2" borderId="0" xfId="0" applyFont="1" applyFill="1" applyAlignment="1">
      <alignment horizontal="center"/>
    </xf>
    <xf numFmtId="0" fontId="5" fillId="4" borderId="6" xfId="0" applyFont="1" applyFill="1" applyBorder="1" applyAlignment="1">
      <alignment vertical="center"/>
    </xf>
    <xf numFmtId="0" fontId="8"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5" fillId="4" borderId="3" xfId="0" applyFont="1" applyFill="1" applyBorder="1" applyAlignment="1">
      <alignment horizontal="center"/>
    </xf>
    <xf numFmtId="0" fontId="5" fillId="4" borderId="4" xfId="0" applyFont="1" applyFill="1" applyBorder="1" applyAlignment="1">
      <alignment horizontal="center"/>
    </xf>
    <xf numFmtId="0" fontId="5" fillId="4" borderId="5" xfId="0" applyFont="1" applyFill="1" applyBorder="1" applyAlignment="1">
      <alignment horizontal="center"/>
    </xf>
    <xf numFmtId="0" fontId="5" fillId="4" borderId="7" xfId="0" applyFont="1" applyFill="1" applyBorder="1" applyAlignment="1">
      <alignment vertical="center"/>
    </xf>
    <xf numFmtId="0" fontId="5" fillId="4" borderId="1" xfId="0" applyFont="1" applyFill="1" applyBorder="1" applyAlignment="1">
      <alignment horizontal="center" textRotation="90"/>
    </xf>
    <xf numFmtId="0" fontId="5" fillId="4" borderId="5" xfId="0" applyFont="1" applyFill="1" applyBorder="1" applyAlignment="1">
      <alignment horizontal="center" textRotation="90"/>
    </xf>
    <xf numFmtId="0" fontId="5" fillId="4" borderId="24" xfId="0" applyFont="1" applyFill="1" applyBorder="1" applyAlignment="1">
      <alignment horizontal="center" vertical="center"/>
    </xf>
    <xf numFmtId="9" fontId="5" fillId="4" borderId="25" xfId="1" applyFont="1" applyFill="1" applyBorder="1" applyAlignment="1">
      <alignment horizontal="center" vertical="center"/>
    </xf>
    <xf numFmtId="0" fontId="5" fillId="4" borderId="26" xfId="0" applyFont="1" applyFill="1" applyBorder="1" applyAlignment="1">
      <alignment horizontal="center" vertical="center"/>
    </xf>
    <xf numFmtId="0" fontId="5" fillId="4" borderId="24" xfId="0" applyFont="1" applyFill="1" applyBorder="1" applyAlignment="1">
      <alignment horizontal="center" vertical="center" wrapText="1"/>
    </xf>
    <xf numFmtId="0" fontId="5" fillId="4" borderId="23"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1" xfId="0" applyFont="1" applyFill="1" applyBorder="1" applyAlignment="1">
      <alignment horizontal="center"/>
    </xf>
    <xf numFmtId="0" fontId="5" fillId="4" borderId="5" xfId="0" applyFont="1" applyFill="1" applyBorder="1" applyAlignment="1">
      <alignment horizontal="center"/>
    </xf>
    <xf numFmtId="0" fontId="7" fillId="4" borderId="6" xfId="0" applyFont="1" applyFill="1" applyBorder="1" applyAlignment="1">
      <alignment horizontal="center" vertical="center"/>
    </xf>
    <xf numFmtId="9" fontId="5" fillId="4" borderId="34" xfId="1" applyFont="1" applyFill="1" applyBorder="1" applyAlignment="1">
      <alignment horizontal="center" vertical="center"/>
    </xf>
    <xf numFmtId="0" fontId="5" fillId="4" borderId="27" xfId="0" applyFont="1" applyFill="1" applyBorder="1" applyAlignment="1">
      <alignment horizontal="center" vertical="center"/>
    </xf>
    <xf numFmtId="9" fontId="5" fillId="4" borderId="35" xfId="1" applyFont="1" applyFill="1" applyBorder="1" applyAlignment="1">
      <alignment horizontal="center" vertical="center"/>
    </xf>
    <xf numFmtId="9" fontId="6" fillId="4" borderId="35" xfId="1" applyFont="1" applyFill="1" applyBorder="1" applyAlignment="1">
      <alignment horizontal="center"/>
    </xf>
    <xf numFmtId="0" fontId="0" fillId="0" borderId="0" xfId="0" applyAlignment="1">
      <alignment vertical="top"/>
    </xf>
    <xf numFmtId="0" fontId="0" fillId="0" borderId="0" xfId="0" applyAlignment="1">
      <alignment vertical="top" wrapText="1"/>
    </xf>
    <xf numFmtId="2" fontId="0" fillId="0" borderId="0" xfId="0" applyNumberFormat="1" applyAlignment="1">
      <alignment vertical="top" wrapText="1"/>
    </xf>
  </cellXfs>
  <cellStyles count="13">
    <cellStyle name="Comma" xfId="2" builtinId="3"/>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Hyperlink" xfId="3" builtinId="8" hidden="1"/>
    <cellStyle name="Hyperlink" xfId="5" builtinId="8" hidden="1"/>
    <cellStyle name="Hyperlink" xfId="7" builtinId="8" hidden="1"/>
    <cellStyle name="Hyperlink" xfId="9" builtinId="8" hidden="1"/>
    <cellStyle name="Hyperlink" xfId="11" builtinId="8" hidden="1"/>
    <cellStyle name="Normal" xfId="0" builtinId="0"/>
    <cellStyle name="Percent" xfId="1" builtinId="5"/>
  </cellStyles>
  <dxfs count="0"/>
  <tableStyles count="0" defaultTableStyle="TableStyleMedium2" defaultPivotStyle="PivotStyleLight16"/>
  <colors>
    <mruColors>
      <color rgb="FF3BA53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marker>
          <c:symbol val="none"/>
        </c:marker>
      </c:pivotFmt>
      <c:pivotFmt>
        <c:idx val="1"/>
        <c:marker>
          <c:symbol val="none"/>
        </c:marker>
      </c:pivotFmt>
      <c:pivotFmt>
        <c:idx val="2"/>
        <c:marker>
          <c:symbol val="none"/>
        </c:marker>
        <c:dLbl>
          <c:idx val="0"/>
          <c:spPr/>
          <c:txPr>
            <a:bodyPr/>
            <a:lstStyle/>
            <a:p>
              <a:pPr>
                <a:defRPr sz="600" baseline="0"/>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dLbls>
            <c:spPr>
              <a:noFill/>
              <a:ln>
                <a:noFill/>
              </a:ln>
              <a:effectLst/>
            </c:spPr>
            <c:txPr>
              <a:bodyPr/>
              <a:lstStyle/>
              <a:p>
                <a:pPr>
                  <a:defRPr sz="60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cat>
            <c:strLit>
              <c:ptCount val="3"/>
              <c:pt idx="0">
                <c:v>Strength</c:v>
              </c:pt>
              <c:pt idx="1">
                <c:v>Weapons</c:v>
              </c:pt>
              <c:pt idx="2">
                <c:v>Acrobatics</c:v>
              </c:pt>
            </c:strLit>
          </c:cat>
          <c:val>
            <c:numLit>
              <c:formatCode>General</c:formatCode>
              <c:ptCount val="3"/>
              <c:pt idx="0">
                <c:v>0.586666666666667</c:v>
              </c:pt>
              <c:pt idx="1">
                <c:v>0.668333333333333</c:v>
              </c:pt>
              <c:pt idx="2">
                <c:v>0.646666666666667</c:v>
              </c:pt>
            </c:numLit>
          </c:val>
        </c:ser>
        <c:dLbls>
          <c:showLegendKey val="0"/>
          <c:showVal val="0"/>
          <c:showCatName val="0"/>
          <c:showSerName val="0"/>
          <c:showPercent val="0"/>
          <c:showBubbleSize val="0"/>
        </c:dLbls>
        <c:gapWidth val="100"/>
        <c:axId val="-931622656"/>
        <c:axId val="-931620880"/>
      </c:barChart>
      <c:catAx>
        <c:axId val="-931622656"/>
        <c:scaling>
          <c:orientation val="minMax"/>
        </c:scaling>
        <c:delete val="1"/>
        <c:axPos val="b"/>
        <c:numFmt formatCode="General" sourceLinked="0"/>
        <c:majorTickMark val="out"/>
        <c:minorTickMark val="none"/>
        <c:tickLblPos val="nextTo"/>
        <c:crossAx val="-931620880"/>
        <c:crosses val="autoZero"/>
        <c:auto val="1"/>
        <c:lblAlgn val="ctr"/>
        <c:lblOffset val="100"/>
        <c:noMultiLvlLbl val="0"/>
      </c:catAx>
      <c:valAx>
        <c:axId val="-931620880"/>
        <c:scaling>
          <c:orientation val="minMax"/>
        </c:scaling>
        <c:delete val="0"/>
        <c:axPos val="l"/>
        <c:majorGridlines/>
        <c:numFmt formatCode="General" sourceLinked="1"/>
        <c:majorTickMark val="out"/>
        <c:minorTickMark val="none"/>
        <c:tickLblPos val="nextTo"/>
        <c:crossAx val="-931622656"/>
        <c:crosses val="autoZero"/>
        <c:crossBetween val="between"/>
      </c:valAx>
    </c:plotArea>
    <c:plotVisOnly val="1"/>
    <c:dispBlanksAs val="gap"/>
    <c:showDLblsOverMax val="0"/>
  </c:chart>
  <c:spPr>
    <a:ln>
      <a:noFill/>
    </a:ln>
  </c:sp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marker>
          <c:symbol val="none"/>
        </c:marker>
      </c:pivotFmt>
      <c:pivotFmt>
        <c:idx val="1"/>
        <c:marker>
          <c:symbol val="none"/>
        </c:marker>
      </c:pivotFmt>
      <c:pivotFmt>
        <c:idx val="2"/>
        <c:marker>
          <c:symbol val="none"/>
        </c:marker>
        <c:dLbl>
          <c:idx val="0"/>
          <c:spPr/>
          <c:txPr>
            <a:bodyPr/>
            <a:lstStyle/>
            <a:p>
              <a:pPr>
                <a:defRPr sz="600" baseline="0"/>
              </a:pPr>
              <a:endParaRPr lang="en-US"/>
            </a:p>
          </c:txPr>
          <c:showLegendKey val="0"/>
          <c:showVal val="0"/>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3832614779765"/>
          <c:y val="0.159754820497644"/>
          <c:w val="0.750906620113676"/>
          <c:h val="0.75999726819496"/>
        </c:manualLayout>
      </c:layout>
      <c:barChart>
        <c:barDir val="col"/>
        <c:grouping val="clustered"/>
        <c:varyColors val="0"/>
        <c:ser>
          <c:idx val="0"/>
          <c:order val="0"/>
          <c:tx>
            <c:strRef>
              <c:f>Sheet1!$N$34</c:f>
              <c:strCache>
                <c:ptCount val="1"/>
                <c:pt idx="0">
                  <c:v>Total UW</c:v>
                </c:pt>
              </c:strCache>
            </c:strRef>
          </c:tx>
          <c:invertIfNegative val="0"/>
          <c:dLbls>
            <c:spPr>
              <a:noFill/>
              <a:ln>
                <a:noFill/>
              </a:ln>
              <a:effectLst/>
            </c:spPr>
            <c:txPr>
              <a:bodyPr/>
              <a:lstStyle/>
              <a:p>
                <a:pPr>
                  <a:defRPr sz="60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cat>
            <c:strRef>
              <c:f>Sheet1!$M$35:$M$38</c:f>
              <c:strCache>
                <c:ptCount val="4"/>
                <c:pt idx="0">
                  <c:v>Hero</c:v>
                </c:pt>
                <c:pt idx="1">
                  <c:v>Sr. Hero</c:v>
                </c:pt>
                <c:pt idx="2">
                  <c:v>Principle Hero</c:v>
                </c:pt>
                <c:pt idx="3">
                  <c:v>Specialist Hero</c:v>
                </c:pt>
              </c:strCache>
            </c:strRef>
          </c:cat>
          <c:val>
            <c:numRef>
              <c:f>Sheet1!$N$35:$N$38</c:f>
              <c:numCache>
                <c:formatCode>General</c:formatCode>
                <c:ptCount val="4"/>
                <c:pt idx="0">
                  <c:v>0.0</c:v>
                </c:pt>
                <c:pt idx="1">
                  <c:v>135.0</c:v>
                </c:pt>
                <c:pt idx="2">
                  <c:v>0.0</c:v>
                </c:pt>
                <c:pt idx="3">
                  <c:v>0.0</c:v>
                </c:pt>
              </c:numCache>
            </c:numRef>
          </c:val>
        </c:ser>
        <c:dLbls>
          <c:showLegendKey val="0"/>
          <c:showVal val="0"/>
          <c:showCatName val="0"/>
          <c:showSerName val="0"/>
          <c:showPercent val="0"/>
          <c:showBubbleSize val="0"/>
        </c:dLbls>
        <c:gapWidth val="100"/>
        <c:axId val="-909992240"/>
        <c:axId val="-909989760"/>
      </c:barChart>
      <c:catAx>
        <c:axId val="-909992240"/>
        <c:scaling>
          <c:orientation val="minMax"/>
        </c:scaling>
        <c:delete val="1"/>
        <c:axPos val="b"/>
        <c:numFmt formatCode="General" sourceLinked="0"/>
        <c:majorTickMark val="out"/>
        <c:minorTickMark val="none"/>
        <c:tickLblPos val="nextTo"/>
        <c:crossAx val="-909989760"/>
        <c:crosses val="autoZero"/>
        <c:auto val="1"/>
        <c:lblAlgn val="ctr"/>
        <c:lblOffset val="100"/>
        <c:noMultiLvlLbl val="0"/>
      </c:catAx>
      <c:valAx>
        <c:axId val="-909989760"/>
        <c:scaling>
          <c:orientation val="minMax"/>
        </c:scaling>
        <c:delete val="0"/>
        <c:axPos val="l"/>
        <c:majorGridlines/>
        <c:numFmt formatCode="General" sourceLinked="1"/>
        <c:majorTickMark val="out"/>
        <c:minorTickMark val="none"/>
        <c:tickLblPos val="nextTo"/>
        <c:crossAx val="-909992240"/>
        <c:crosses val="autoZero"/>
        <c:crossBetween val="between"/>
      </c:valAx>
    </c:plotArea>
    <c:plotVisOnly val="1"/>
    <c:dispBlanksAs val="gap"/>
    <c:showDLblsOverMax val="0"/>
  </c:chart>
  <c:spPr>
    <a:ln>
      <a:noFill/>
    </a:ln>
  </c:spPr>
  <c:printSettings>
    <c:headerFooter/>
    <c:pageMargins b="0.75" l="0.7" r="0.7" t="0.75" header="0.3" footer="0.3"/>
    <c:pageSetup/>
  </c:printSettings>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25400</xdr:colOff>
          <xdr:row>3</xdr:row>
          <xdr:rowOff>0</xdr:rowOff>
        </xdr:from>
        <xdr:to>
          <xdr:col>21</xdr:col>
          <xdr:colOff>203200</xdr:colOff>
          <xdr:row>3</xdr:row>
          <xdr:rowOff>177800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228600</xdr:colOff>
          <xdr:row>3</xdr:row>
          <xdr:rowOff>0</xdr:rowOff>
        </xdr:from>
        <xdr:to>
          <xdr:col>21</xdr:col>
          <xdr:colOff>406400</xdr:colOff>
          <xdr:row>3</xdr:row>
          <xdr:rowOff>177800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25400</xdr:colOff>
          <xdr:row>3</xdr:row>
          <xdr:rowOff>0</xdr:rowOff>
        </xdr:from>
        <xdr:to>
          <xdr:col>24</xdr:col>
          <xdr:colOff>203200</xdr:colOff>
          <xdr:row>3</xdr:row>
          <xdr:rowOff>177800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228600</xdr:colOff>
          <xdr:row>3</xdr:row>
          <xdr:rowOff>0</xdr:rowOff>
        </xdr:from>
        <xdr:to>
          <xdr:col>24</xdr:col>
          <xdr:colOff>406400</xdr:colOff>
          <xdr:row>3</xdr:row>
          <xdr:rowOff>177800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8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18</xdr:col>
      <xdr:colOff>591670</xdr:colOff>
      <xdr:row>24</xdr:row>
      <xdr:rowOff>53788</xdr:rowOff>
    </xdr:from>
    <xdr:to>
      <xdr:col>23</xdr:col>
      <xdr:colOff>394447</xdr:colOff>
      <xdr:row>33</xdr:row>
      <xdr:rowOff>62753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692204</xdr:colOff>
      <xdr:row>32</xdr:row>
      <xdr:rowOff>44825</xdr:rowOff>
    </xdr:from>
    <xdr:to>
      <xdr:col>23</xdr:col>
      <xdr:colOff>367553</xdr:colOff>
      <xdr:row>41</xdr:row>
      <xdr:rowOff>125505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3</xdr:col>
          <xdr:colOff>50800</xdr:colOff>
          <xdr:row>0</xdr:row>
          <xdr:rowOff>330200</xdr:rowOff>
        </xdr:from>
        <xdr:to>
          <xdr:col>3</xdr:col>
          <xdr:colOff>901700</xdr:colOff>
          <xdr:row>1</xdr:row>
          <xdr:rowOff>596900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Hide /</a:t>
              </a:r>
            </a:p>
            <a:p>
              <a:pPr algn="ctr" rtl="0">
                <a:defRPr sz="1000"/>
              </a:pPr>
              <a:r>
                <a:rPr lang="en-US" sz="1100" b="0" i="0" u="none" strike="noStrike" baseline="0">
                  <a:solidFill>
                    <a:srgbClr val="000000"/>
                  </a:solidFill>
                  <a:latin typeface="Calibri"/>
                  <a:ea typeface="Calibri"/>
                  <a:cs typeface="Calibri"/>
                </a:rPr>
                <a:t>Unhide</a:t>
              </a:r>
            </a:p>
            <a:p>
              <a:pPr algn="ctr" rtl="0">
                <a:defRPr sz="1000"/>
              </a:pPr>
              <a:r>
                <a:rPr lang="en-US" sz="1100" b="0" i="0" u="none" strike="noStrike" baseline="0">
                  <a:solidFill>
                    <a:srgbClr val="000000"/>
                  </a:solidFill>
                  <a:latin typeface="Calibri"/>
                  <a:ea typeface="Calibri"/>
                  <a:cs typeface="Calibri"/>
                </a:rPr>
                <a:t>Detail</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7" Type="http://schemas.openxmlformats.org/officeDocument/2006/relationships/ctrlProp" Target="../ctrlProps/ctrlProp4.xml"/><Relationship Id="rId8" Type="http://schemas.openxmlformats.org/officeDocument/2006/relationships/ctrlProp" Target="../ctrlProps/ctrlProp5.xml"/><Relationship Id="rId9"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pageSetUpPr fitToPage="1"/>
  </sheetPr>
  <dimension ref="A1:CE73"/>
  <sheetViews>
    <sheetView zoomScale="156" zoomScaleNormal="156" zoomScalePageLayoutView="156" workbookViewId="0">
      <pane xSplit="4" ySplit="4" topLeftCell="E5" activePane="bottomRight" state="frozen"/>
      <selection pane="topRight" activeCell="C1" sqref="C1"/>
      <selection pane="bottomLeft" activeCell="A5" sqref="A5"/>
      <selection pane="bottomRight" activeCell="L3" sqref="L3"/>
    </sheetView>
  </sheetViews>
  <sheetFormatPr baseColWidth="10" defaultColWidth="8.83203125" defaultRowHeight="15" x14ac:dyDescent="0.2"/>
  <cols>
    <col min="1" max="1" width="4.83203125" hidden="1" customWidth="1"/>
    <col min="2" max="2" width="16" customWidth="1"/>
    <col min="3" max="4" width="14.6640625" customWidth="1"/>
    <col min="5" max="19" width="10.33203125" style="1" customWidth="1"/>
    <col min="20" max="20" width="6.5" customWidth="1"/>
    <col min="21" max="21" width="6.5" style="26" customWidth="1"/>
    <col min="22" max="22" width="6.5" customWidth="1"/>
    <col min="23" max="23" width="6.5" style="1" customWidth="1"/>
    <col min="24" max="24" width="6.5" style="28" customWidth="1"/>
    <col min="25" max="25" width="6.5" customWidth="1"/>
    <col min="26" max="29" width="8.83203125" style="2"/>
  </cols>
  <sheetData>
    <row r="1" spans="1:83" ht="26.5" customHeight="1" thickBot="1" x14ac:dyDescent="0.3">
      <c r="A1" s="29"/>
      <c r="B1" s="55"/>
      <c r="C1" s="55"/>
      <c r="D1" s="55"/>
      <c r="E1" s="56" t="s">
        <v>34</v>
      </c>
      <c r="F1" s="57"/>
      <c r="G1" s="57"/>
      <c r="H1" s="58"/>
      <c r="I1" s="56" t="s">
        <v>35</v>
      </c>
      <c r="J1" s="57"/>
      <c r="K1" s="57"/>
      <c r="L1" s="58"/>
      <c r="M1" s="56" t="s">
        <v>44</v>
      </c>
      <c r="N1" s="57"/>
      <c r="O1" s="58"/>
      <c r="P1" s="57" t="s">
        <v>36</v>
      </c>
      <c r="Q1" s="57"/>
      <c r="R1" s="57"/>
      <c r="S1" s="58"/>
      <c r="T1" s="59" t="s">
        <v>10</v>
      </c>
      <c r="U1" s="60"/>
      <c r="V1" s="61"/>
      <c r="W1" s="59" t="s">
        <v>8</v>
      </c>
      <c r="X1" s="60"/>
      <c r="Y1" s="61"/>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row>
    <row r="2" spans="1:83" ht="121.25" customHeight="1" thickBot="1" x14ac:dyDescent="0.25">
      <c r="A2" s="30"/>
      <c r="B2" s="62"/>
      <c r="C2" s="62"/>
      <c r="D2" s="62"/>
      <c r="E2" s="63" t="s">
        <v>37</v>
      </c>
      <c r="F2" s="63" t="s">
        <v>38</v>
      </c>
      <c r="G2" s="63" t="s">
        <v>39</v>
      </c>
      <c r="H2" s="63" t="s">
        <v>40</v>
      </c>
      <c r="I2" s="63" t="s">
        <v>41</v>
      </c>
      <c r="J2" s="63" t="s">
        <v>42</v>
      </c>
      <c r="K2" s="63" t="s">
        <v>43</v>
      </c>
      <c r="L2" s="63" t="s">
        <v>77</v>
      </c>
      <c r="M2" s="63" t="s">
        <v>45</v>
      </c>
      <c r="N2" s="63" t="s">
        <v>46</v>
      </c>
      <c r="O2" s="63" t="s">
        <v>29</v>
      </c>
      <c r="P2" s="64" t="s">
        <v>30</v>
      </c>
      <c r="Q2" s="63" t="s">
        <v>2</v>
      </c>
      <c r="R2" s="63" t="s">
        <v>3</v>
      </c>
      <c r="S2" s="64" t="s">
        <v>4</v>
      </c>
      <c r="T2" s="65" t="s">
        <v>5</v>
      </c>
      <c r="U2" s="66" t="s">
        <v>9</v>
      </c>
      <c r="V2" s="67" t="s">
        <v>6</v>
      </c>
      <c r="W2" s="68" t="s">
        <v>5</v>
      </c>
      <c r="X2" s="66" t="s">
        <v>9</v>
      </c>
      <c r="Y2" s="67" t="s">
        <v>6</v>
      </c>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row>
    <row r="3" spans="1:83" ht="16" thickBot="1" x14ac:dyDescent="0.25">
      <c r="A3" s="31"/>
      <c r="B3" s="69"/>
      <c r="C3" s="69"/>
      <c r="D3" s="69"/>
      <c r="E3" s="71" t="s">
        <v>7</v>
      </c>
      <c r="F3" s="71" t="s">
        <v>7</v>
      </c>
      <c r="G3" s="71" t="s">
        <v>7</v>
      </c>
      <c r="H3" s="71" t="s">
        <v>7</v>
      </c>
      <c r="I3" s="71" t="s">
        <v>7</v>
      </c>
      <c r="J3" s="71" t="s">
        <v>7</v>
      </c>
      <c r="K3" s="71" t="s">
        <v>7</v>
      </c>
      <c r="L3" s="71" t="s">
        <v>7</v>
      </c>
      <c r="M3" s="71" t="s">
        <v>7</v>
      </c>
      <c r="N3" s="71" t="s">
        <v>7</v>
      </c>
      <c r="O3" s="71" t="s">
        <v>7</v>
      </c>
      <c r="P3" s="72" t="s">
        <v>7</v>
      </c>
      <c r="Q3" s="71" t="s">
        <v>7</v>
      </c>
      <c r="R3" s="71" t="s">
        <v>7</v>
      </c>
      <c r="S3" s="71" t="s">
        <v>7</v>
      </c>
      <c r="T3" s="73" t="s">
        <v>11</v>
      </c>
      <c r="U3" s="74"/>
      <c r="V3" s="75"/>
      <c r="W3" s="73" t="s">
        <v>11</v>
      </c>
      <c r="X3" s="74"/>
      <c r="Y3" s="75"/>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row>
    <row r="4" spans="1:83" ht="16" thickBot="1" x14ac:dyDescent="0.25">
      <c r="A4" s="30" t="s">
        <v>6</v>
      </c>
      <c r="B4" s="62" t="s">
        <v>0</v>
      </c>
      <c r="C4" s="62" t="s">
        <v>19</v>
      </c>
      <c r="D4" s="70" t="s">
        <v>1</v>
      </c>
      <c r="E4" s="33">
        <v>10</v>
      </c>
      <c r="F4" s="33">
        <v>8</v>
      </c>
      <c r="G4" s="33">
        <v>8</v>
      </c>
      <c r="H4" s="33">
        <v>10</v>
      </c>
      <c r="I4" s="33">
        <v>10</v>
      </c>
      <c r="J4" s="33">
        <v>9</v>
      </c>
      <c r="K4" s="33">
        <v>7</v>
      </c>
      <c r="L4" s="33">
        <v>7</v>
      </c>
      <c r="M4" s="33">
        <v>9</v>
      </c>
      <c r="N4" s="33">
        <v>10</v>
      </c>
      <c r="O4" s="33">
        <v>8</v>
      </c>
      <c r="P4" s="45">
        <v>10</v>
      </c>
      <c r="Q4" s="33">
        <v>10</v>
      </c>
      <c r="R4" s="33">
        <v>7</v>
      </c>
      <c r="S4" s="33">
        <v>8</v>
      </c>
      <c r="T4" s="70">
        <f>10*15</f>
        <v>150</v>
      </c>
      <c r="U4" s="76"/>
      <c r="V4" s="32"/>
      <c r="W4" s="70">
        <f>SUM(E4:S4)</f>
        <v>131</v>
      </c>
      <c r="X4" s="77"/>
      <c r="Y4" s="3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x14ac:dyDescent="0.2">
      <c r="A5" s="10">
        <f t="shared" ref="A5:A24" si="0">Y5</f>
        <v>1</v>
      </c>
      <c r="B5" s="10" t="s">
        <v>24</v>
      </c>
      <c r="C5" s="10" t="s">
        <v>25</v>
      </c>
      <c r="D5" s="10" t="s">
        <v>31</v>
      </c>
      <c r="E5" s="4">
        <v>10</v>
      </c>
      <c r="F5" s="5">
        <v>9</v>
      </c>
      <c r="G5" s="5">
        <v>10</v>
      </c>
      <c r="H5" s="13">
        <v>10</v>
      </c>
      <c r="I5" s="4">
        <v>9</v>
      </c>
      <c r="J5" s="5">
        <v>9</v>
      </c>
      <c r="K5" s="5">
        <v>8</v>
      </c>
      <c r="L5" s="13">
        <v>10</v>
      </c>
      <c r="M5" s="4">
        <v>8</v>
      </c>
      <c r="N5" s="5">
        <v>10</v>
      </c>
      <c r="O5" s="13">
        <v>10</v>
      </c>
      <c r="P5" s="46">
        <v>8</v>
      </c>
      <c r="Q5" s="5">
        <v>8</v>
      </c>
      <c r="R5" s="5">
        <v>7</v>
      </c>
      <c r="S5" s="13">
        <v>9</v>
      </c>
      <c r="T5" s="19">
        <f t="shared" ref="T5:T24" si="1">IF(B5&gt;"",SUM(E5:S5),"")</f>
        <v>135</v>
      </c>
      <c r="U5" s="22">
        <f t="shared" ref="U5:U24" si="2">IF(B5&gt;"",T5/150,"")</f>
        <v>0.9</v>
      </c>
      <c r="V5" s="16">
        <f>IF(B5&gt;"",RANK(T5,T$5:T$24)+COUNTIF($T$5:T5,T5)-1,"")</f>
        <v>1</v>
      </c>
      <c r="W5" s="19">
        <f t="shared" ref="W5:W24" si="3">IF(B5&gt;"",SUM(($E5*$E$4)/10,($F5*$F$4)/10,($G5*$G$4)/10,($H5*$H$4)/10,($I5*$I$4)/10,($J5*$J$4)/10,($K5*$K$4)/10,($L5*$L$4)/10,($M5*$M$4)/10,($N5*$N$4)/10,($O5*$O$4)/10,($P5*$P$4)/10,($Q5*$Q$4)/10,($R5*$R$4)/10,($S5*$S$4)/10),"")</f>
        <v>118.20000000000002</v>
      </c>
      <c r="X5" s="22">
        <f t="shared" ref="X5:X24" si="4">IF(B5&gt;"",W5/$W$4,"")</f>
        <v>0.90229007633587799</v>
      </c>
      <c r="Y5" s="19">
        <f>IF(B5&gt;"",RANK(W5,W$5:W$24)+COUNTIF($W$5:W5,W5)-1,"")</f>
        <v>1</v>
      </c>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x14ac:dyDescent="0.2">
      <c r="A6" s="11" t="str">
        <f t="shared" si="0"/>
        <v/>
      </c>
      <c r="B6" s="11"/>
      <c r="C6" s="11"/>
      <c r="D6" s="11"/>
      <c r="E6" s="6">
        <v>10</v>
      </c>
      <c r="F6" s="7">
        <v>9</v>
      </c>
      <c r="G6" s="7">
        <v>8</v>
      </c>
      <c r="H6" s="14">
        <v>7</v>
      </c>
      <c r="I6" s="6">
        <v>8</v>
      </c>
      <c r="J6" s="7">
        <v>9</v>
      </c>
      <c r="K6" s="7">
        <v>9</v>
      </c>
      <c r="L6" s="14">
        <v>8</v>
      </c>
      <c r="M6" s="6">
        <v>9</v>
      </c>
      <c r="N6" s="7">
        <v>8</v>
      </c>
      <c r="O6" s="14">
        <v>7</v>
      </c>
      <c r="P6" s="47">
        <v>7</v>
      </c>
      <c r="Q6" s="7">
        <v>8</v>
      </c>
      <c r="R6" s="7">
        <v>9</v>
      </c>
      <c r="S6" s="14">
        <v>7</v>
      </c>
      <c r="T6" s="20" t="str">
        <f t="shared" si="1"/>
        <v/>
      </c>
      <c r="U6" s="23" t="str">
        <f t="shared" si="2"/>
        <v/>
      </c>
      <c r="V6" s="17" t="str">
        <f>IF(B6&gt;"",RANK(T6,T$5:T$24)+COUNTIF($T$5:T6,T6)-1,"")</f>
        <v/>
      </c>
      <c r="W6" s="20" t="str">
        <f t="shared" si="3"/>
        <v/>
      </c>
      <c r="X6" s="23" t="str">
        <f t="shared" si="4"/>
        <v/>
      </c>
      <c r="Y6" s="20" t="str">
        <f>IF(B6&gt;"",RANK(W6,W$5:W$24)+COUNTIF($W$5:W6,W6)-1,"")</f>
        <v/>
      </c>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row>
    <row r="7" spans="1:83" x14ac:dyDescent="0.2">
      <c r="A7" s="11" t="str">
        <f t="shared" si="0"/>
        <v/>
      </c>
      <c r="B7" s="11"/>
      <c r="C7" s="11"/>
      <c r="D7" s="11"/>
      <c r="E7" s="6">
        <v>8</v>
      </c>
      <c r="F7" s="7">
        <v>9</v>
      </c>
      <c r="G7" s="7">
        <v>8</v>
      </c>
      <c r="H7" s="14">
        <v>7</v>
      </c>
      <c r="I7" s="6">
        <v>8</v>
      </c>
      <c r="J7" s="7">
        <v>9</v>
      </c>
      <c r="K7" s="7">
        <v>9</v>
      </c>
      <c r="L7" s="14">
        <v>8</v>
      </c>
      <c r="M7" s="6">
        <v>9</v>
      </c>
      <c r="N7" s="7">
        <v>8</v>
      </c>
      <c r="O7" s="14">
        <v>7</v>
      </c>
      <c r="P7" s="47">
        <v>7</v>
      </c>
      <c r="Q7" s="7">
        <v>8</v>
      </c>
      <c r="R7" s="7">
        <v>9</v>
      </c>
      <c r="S7" s="14">
        <v>7</v>
      </c>
      <c r="T7" s="20" t="str">
        <f t="shared" si="1"/>
        <v/>
      </c>
      <c r="U7" s="23" t="str">
        <f t="shared" si="2"/>
        <v/>
      </c>
      <c r="V7" s="17" t="str">
        <f>IF(B7&gt;"",RANK(T7,T$5:T$24)+COUNTIF($T$5:T7,T7)-1,"")</f>
        <v/>
      </c>
      <c r="W7" s="20" t="str">
        <f t="shared" si="3"/>
        <v/>
      </c>
      <c r="X7" s="23" t="str">
        <f t="shared" si="4"/>
        <v/>
      </c>
      <c r="Y7" s="20" t="str">
        <f>IF(B7&gt;"",RANK(W7,W$5:W$24)+COUNTIF($W$5:W7,W7)-1,"")</f>
        <v/>
      </c>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row>
    <row r="8" spans="1:83" x14ac:dyDescent="0.2">
      <c r="A8" s="11" t="str">
        <f t="shared" si="0"/>
        <v/>
      </c>
      <c r="B8" s="11"/>
      <c r="C8" s="11"/>
      <c r="D8" s="11"/>
      <c r="E8" s="6">
        <v>5</v>
      </c>
      <c r="F8" s="7">
        <v>8</v>
      </c>
      <c r="G8" s="7">
        <v>9</v>
      </c>
      <c r="H8" s="14">
        <v>8</v>
      </c>
      <c r="I8" s="6">
        <v>10</v>
      </c>
      <c r="J8" s="7">
        <v>7</v>
      </c>
      <c r="K8" s="7">
        <v>6</v>
      </c>
      <c r="L8" s="14">
        <v>7</v>
      </c>
      <c r="M8" s="6">
        <v>8</v>
      </c>
      <c r="N8" s="7">
        <v>9</v>
      </c>
      <c r="O8" s="14">
        <v>8</v>
      </c>
      <c r="P8" s="47">
        <v>9</v>
      </c>
      <c r="Q8" s="7">
        <v>8</v>
      </c>
      <c r="R8" s="7">
        <v>9</v>
      </c>
      <c r="S8" s="14">
        <v>8</v>
      </c>
      <c r="T8" s="20" t="str">
        <f t="shared" si="1"/>
        <v/>
      </c>
      <c r="U8" s="23" t="str">
        <f t="shared" si="2"/>
        <v/>
      </c>
      <c r="V8" s="17" t="str">
        <f>IF(B8&gt;"",RANK(T8,T$5:T$24)+COUNTIF($T$5:T8,T8)-1,"")</f>
        <v/>
      </c>
      <c r="W8" s="20" t="str">
        <f t="shared" si="3"/>
        <v/>
      </c>
      <c r="X8" s="23" t="str">
        <f t="shared" si="4"/>
        <v/>
      </c>
      <c r="Y8" s="20" t="str">
        <f>IF(B8&gt;"",RANK(W8,W$5:W$24)+COUNTIF($W$5:W8,W8)-1,"")</f>
        <v/>
      </c>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row>
    <row r="9" spans="1:83" x14ac:dyDescent="0.2">
      <c r="A9" s="11" t="str">
        <f t="shared" si="0"/>
        <v/>
      </c>
      <c r="B9" s="11"/>
      <c r="C9" s="11"/>
      <c r="D9" s="11"/>
      <c r="E9" s="6">
        <v>6</v>
      </c>
      <c r="F9" s="7">
        <v>7</v>
      </c>
      <c r="G9" s="7">
        <v>6</v>
      </c>
      <c r="H9" s="14">
        <v>8</v>
      </c>
      <c r="I9" s="6">
        <v>9</v>
      </c>
      <c r="J9" s="7">
        <v>8</v>
      </c>
      <c r="K9" s="7">
        <v>7</v>
      </c>
      <c r="L9" s="14">
        <v>8</v>
      </c>
      <c r="M9" s="6">
        <v>9</v>
      </c>
      <c r="N9" s="7">
        <v>8</v>
      </c>
      <c r="O9" s="14">
        <v>7</v>
      </c>
      <c r="P9" s="47">
        <v>8</v>
      </c>
      <c r="Q9" s="7">
        <v>9</v>
      </c>
      <c r="R9" s="7">
        <v>9</v>
      </c>
      <c r="S9" s="14">
        <v>7</v>
      </c>
      <c r="T9" s="20" t="str">
        <f t="shared" si="1"/>
        <v/>
      </c>
      <c r="U9" s="23" t="str">
        <f t="shared" si="2"/>
        <v/>
      </c>
      <c r="V9" s="17" t="str">
        <f>IF(B9&gt;"",RANK(T9,T$5:T$24)+COUNTIF($T$5:T9,T9)-1,"")</f>
        <v/>
      </c>
      <c r="W9" s="20" t="str">
        <f t="shared" si="3"/>
        <v/>
      </c>
      <c r="X9" s="23" t="str">
        <f t="shared" si="4"/>
        <v/>
      </c>
      <c r="Y9" s="20" t="str">
        <f>IF(B9&gt;"",RANK(W9,W$5:W$24)+COUNTIF($W$5:W9,W9)-1,"")</f>
        <v/>
      </c>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row>
    <row r="10" spans="1:83" x14ac:dyDescent="0.2">
      <c r="A10" s="11" t="str">
        <f t="shared" si="0"/>
        <v/>
      </c>
      <c r="B10" s="11"/>
      <c r="C10" s="11"/>
      <c r="D10" s="11"/>
      <c r="E10" s="6">
        <v>8</v>
      </c>
      <c r="F10" s="7">
        <v>8</v>
      </c>
      <c r="G10" s="7">
        <v>7</v>
      </c>
      <c r="H10" s="14">
        <v>7</v>
      </c>
      <c r="I10" s="6">
        <v>6</v>
      </c>
      <c r="J10" s="7">
        <v>6</v>
      </c>
      <c r="K10" s="7">
        <v>7</v>
      </c>
      <c r="L10" s="14">
        <v>7</v>
      </c>
      <c r="M10" s="6">
        <v>8</v>
      </c>
      <c r="N10" s="7">
        <v>8</v>
      </c>
      <c r="O10" s="14">
        <v>9</v>
      </c>
      <c r="P10" s="47">
        <v>9</v>
      </c>
      <c r="Q10" s="7">
        <v>8</v>
      </c>
      <c r="R10" s="7">
        <v>8</v>
      </c>
      <c r="S10" s="14">
        <v>8</v>
      </c>
      <c r="T10" s="20" t="str">
        <f t="shared" si="1"/>
        <v/>
      </c>
      <c r="U10" s="23" t="str">
        <f t="shared" si="2"/>
        <v/>
      </c>
      <c r="V10" s="17" t="str">
        <f>IF(B10&gt;"",RANK(T10,T$5:T$24)+COUNTIF($T$5:T10,T10)-1,"")</f>
        <v/>
      </c>
      <c r="W10" s="20" t="str">
        <f t="shared" si="3"/>
        <v/>
      </c>
      <c r="X10" s="23" t="str">
        <f t="shared" si="4"/>
        <v/>
      </c>
      <c r="Y10" s="20" t="str">
        <f>IF(B10&gt;"",RANK(W10,W$5:W$24)+COUNTIF($W$5:W10,W10)-1,"")</f>
        <v/>
      </c>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row>
    <row r="11" spans="1:83" x14ac:dyDescent="0.2">
      <c r="A11" s="11" t="str">
        <f t="shared" si="0"/>
        <v/>
      </c>
      <c r="B11" s="11"/>
      <c r="C11" s="11"/>
      <c r="D11" s="11"/>
      <c r="E11" s="6">
        <v>5</v>
      </c>
      <c r="F11" s="7">
        <v>8</v>
      </c>
      <c r="G11" s="7">
        <v>6</v>
      </c>
      <c r="H11" s="14">
        <v>9</v>
      </c>
      <c r="I11" s="6">
        <v>4</v>
      </c>
      <c r="J11" s="7">
        <v>8</v>
      </c>
      <c r="K11" s="7">
        <v>9</v>
      </c>
      <c r="L11" s="14">
        <v>8</v>
      </c>
      <c r="M11" s="6">
        <v>9</v>
      </c>
      <c r="N11" s="7">
        <v>7</v>
      </c>
      <c r="O11" s="14">
        <v>8</v>
      </c>
      <c r="P11" s="47">
        <v>9</v>
      </c>
      <c r="Q11" s="7">
        <v>7</v>
      </c>
      <c r="R11" s="7">
        <v>8</v>
      </c>
      <c r="S11" s="14">
        <v>7</v>
      </c>
      <c r="T11" s="20" t="str">
        <f t="shared" si="1"/>
        <v/>
      </c>
      <c r="U11" s="23" t="str">
        <f t="shared" si="2"/>
        <v/>
      </c>
      <c r="V11" s="17" t="str">
        <f>IF(B11&gt;"",RANK(T11,T$5:T$24)+COUNTIF($T$5:T11,T11)-1,"")</f>
        <v/>
      </c>
      <c r="W11" s="20" t="str">
        <f t="shared" si="3"/>
        <v/>
      </c>
      <c r="X11" s="23" t="str">
        <f t="shared" si="4"/>
        <v/>
      </c>
      <c r="Y11" s="20" t="str">
        <f>IF(B11&gt;"",RANK(W11,W$5:W$24)+COUNTIF($W$5:W11,W11)-1,"")</f>
        <v/>
      </c>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row>
    <row r="12" spans="1:83" x14ac:dyDescent="0.2">
      <c r="A12" s="11" t="str">
        <f t="shared" si="0"/>
        <v/>
      </c>
      <c r="B12" s="11"/>
      <c r="C12" s="11"/>
      <c r="D12" s="11"/>
      <c r="E12" s="6">
        <v>7</v>
      </c>
      <c r="F12" s="7">
        <v>7</v>
      </c>
      <c r="G12" s="7">
        <v>8</v>
      </c>
      <c r="H12" s="14">
        <v>7</v>
      </c>
      <c r="I12" s="6">
        <v>8</v>
      </c>
      <c r="J12" s="7">
        <v>7</v>
      </c>
      <c r="K12" s="7">
        <v>8</v>
      </c>
      <c r="L12" s="14">
        <v>7</v>
      </c>
      <c r="M12" s="6">
        <v>8</v>
      </c>
      <c r="N12" s="7">
        <v>9</v>
      </c>
      <c r="O12" s="14">
        <v>9</v>
      </c>
      <c r="P12" s="47">
        <v>0</v>
      </c>
      <c r="Q12" s="7">
        <f ca="1">RANDBETWEEN(0,10)</f>
        <v>10</v>
      </c>
      <c r="R12" s="7">
        <v>9</v>
      </c>
      <c r="S12" s="14">
        <v>8</v>
      </c>
      <c r="T12" s="20" t="str">
        <f t="shared" si="1"/>
        <v/>
      </c>
      <c r="U12" s="23" t="str">
        <f t="shared" si="2"/>
        <v/>
      </c>
      <c r="V12" s="17" t="str">
        <f>IF(B12&gt;"",RANK(T12,T$5:T$24)+COUNTIF($T$5:T12,T12)-1,"")</f>
        <v/>
      </c>
      <c r="W12" s="20" t="str">
        <f t="shared" si="3"/>
        <v/>
      </c>
      <c r="X12" s="23" t="str">
        <f t="shared" si="4"/>
        <v/>
      </c>
      <c r="Y12" s="20" t="str">
        <f>IF(B12&gt;"",RANK(W12,W$5:W$24)+COUNTIF($W$5:W12,W12)-1,"")</f>
        <v/>
      </c>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row>
    <row r="13" spans="1:83" x14ac:dyDescent="0.2">
      <c r="A13" s="11" t="str">
        <f t="shared" si="0"/>
        <v/>
      </c>
      <c r="B13" s="11"/>
      <c r="C13" s="11"/>
      <c r="D13" s="11"/>
      <c r="E13" s="6">
        <v>2</v>
      </c>
      <c r="F13" s="7">
        <v>9</v>
      </c>
      <c r="G13" s="7">
        <v>8</v>
      </c>
      <c r="H13" s="14">
        <v>9</v>
      </c>
      <c r="I13" s="6">
        <v>8</v>
      </c>
      <c r="J13" s="7">
        <v>5</v>
      </c>
      <c r="K13" s="7">
        <v>4</v>
      </c>
      <c r="L13" s="14">
        <v>6</v>
      </c>
      <c r="M13" s="6">
        <v>7</v>
      </c>
      <c r="N13" s="7">
        <v>8</v>
      </c>
      <c r="O13" s="14">
        <v>9</v>
      </c>
      <c r="P13" s="47">
        <v>9</v>
      </c>
      <c r="Q13" s="7">
        <v>8</v>
      </c>
      <c r="R13" s="7">
        <v>9</v>
      </c>
      <c r="S13" s="14">
        <v>4</v>
      </c>
      <c r="T13" s="20" t="str">
        <f t="shared" si="1"/>
        <v/>
      </c>
      <c r="U13" s="23" t="str">
        <f t="shared" si="2"/>
        <v/>
      </c>
      <c r="V13" s="17" t="str">
        <f>IF(B13&gt;"",RANK(T13,T$5:T$24)+COUNTIF($T$5:T13,T13)-1,"")</f>
        <v/>
      </c>
      <c r="W13" s="20" t="str">
        <f t="shared" si="3"/>
        <v/>
      </c>
      <c r="X13" s="23" t="str">
        <f t="shared" si="4"/>
        <v/>
      </c>
      <c r="Y13" s="20" t="str">
        <f>IF(B13&gt;"",RANK(W13,W$5:W$24)+COUNTIF($W$5:W13,W13)-1,"")</f>
        <v/>
      </c>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row>
    <row r="14" spans="1:83" x14ac:dyDescent="0.2">
      <c r="A14" s="11" t="str">
        <f t="shared" si="0"/>
        <v/>
      </c>
      <c r="B14" s="11"/>
      <c r="C14" s="11"/>
      <c r="D14" s="11"/>
      <c r="E14" s="6">
        <v>2</v>
      </c>
      <c r="F14" s="7">
        <v>3</v>
      </c>
      <c r="G14" s="7">
        <v>4</v>
      </c>
      <c r="H14" s="14">
        <v>3</v>
      </c>
      <c r="I14" s="6">
        <v>5</v>
      </c>
      <c r="J14" s="7">
        <v>6</v>
      </c>
      <c r="K14" s="7">
        <v>7</v>
      </c>
      <c r="L14" s="14">
        <v>8</v>
      </c>
      <c r="M14" s="6">
        <v>9</v>
      </c>
      <c r="N14" s="7">
        <v>8</v>
      </c>
      <c r="O14" s="14">
        <v>9</v>
      </c>
      <c r="P14" s="47">
        <v>8</v>
      </c>
      <c r="Q14" s="7">
        <v>7</v>
      </c>
      <c r="R14" s="7">
        <v>3</v>
      </c>
      <c r="S14" s="14">
        <v>2</v>
      </c>
      <c r="T14" s="20" t="str">
        <f t="shared" si="1"/>
        <v/>
      </c>
      <c r="U14" s="23" t="str">
        <f t="shared" si="2"/>
        <v/>
      </c>
      <c r="V14" s="17" t="str">
        <f>IF(B14&gt;"",RANK(T14,T$5:T$24)+COUNTIF($T$5:T14,T14)-1,"")</f>
        <v/>
      </c>
      <c r="W14" s="20" t="str">
        <f t="shared" si="3"/>
        <v/>
      </c>
      <c r="X14" s="23" t="str">
        <f t="shared" si="4"/>
        <v/>
      </c>
      <c r="Y14" s="20" t="str">
        <f>IF(B14&gt;"",RANK(W14,W$5:W$24)+COUNTIF($W$5:W14,W14)-1,"")</f>
        <v/>
      </c>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row>
    <row r="15" spans="1:83" x14ac:dyDescent="0.2">
      <c r="A15" s="11" t="str">
        <f t="shared" si="0"/>
        <v/>
      </c>
      <c r="B15" s="11"/>
      <c r="C15" s="11"/>
      <c r="D15" s="11"/>
      <c r="E15" s="6">
        <v>7</v>
      </c>
      <c r="F15" s="7">
        <v>8</v>
      </c>
      <c r="G15" s="7">
        <v>7</v>
      </c>
      <c r="H15" s="14">
        <v>8</v>
      </c>
      <c r="I15" s="6">
        <v>7</v>
      </c>
      <c r="J15" s="7">
        <v>6</v>
      </c>
      <c r="K15" s="7">
        <v>4</v>
      </c>
      <c r="L15" s="14">
        <v>3</v>
      </c>
      <c r="M15" s="6">
        <v>4</v>
      </c>
      <c r="N15" s="7">
        <v>3</v>
      </c>
      <c r="O15" s="14">
        <v>4</v>
      </c>
      <c r="P15" s="47">
        <v>5</v>
      </c>
      <c r="Q15" s="7">
        <v>6</v>
      </c>
      <c r="R15" s="7">
        <v>4</v>
      </c>
      <c r="S15" s="14">
        <v>5</v>
      </c>
      <c r="T15" s="20" t="str">
        <f t="shared" si="1"/>
        <v/>
      </c>
      <c r="U15" s="23" t="str">
        <f t="shared" si="2"/>
        <v/>
      </c>
      <c r="V15" s="17" t="str">
        <f>IF(B15&gt;"",RANK(T15,T$5:T$24)+COUNTIF($T$5:T15,T15)-1,"")</f>
        <v/>
      </c>
      <c r="W15" s="20" t="str">
        <f t="shared" si="3"/>
        <v/>
      </c>
      <c r="X15" s="23" t="str">
        <f t="shared" si="4"/>
        <v/>
      </c>
      <c r="Y15" s="20" t="str">
        <f>IF(B15&gt;"",RANK(W15,W$5:W$24)+COUNTIF($W$5:W15,W15)-1,"")</f>
        <v/>
      </c>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row>
    <row r="16" spans="1:83" x14ac:dyDescent="0.2">
      <c r="A16" s="11" t="str">
        <f t="shared" si="0"/>
        <v/>
      </c>
      <c r="B16" s="11"/>
      <c r="C16" s="11"/>
      <c r="D16" s="11"/>
      <c r="E16" s="6">
        <v>1</v>
      </c>
      <c r="F16" s="7">
        <v>3</v>
      </c>
      <c r="G16" s="7">
        <v>5</v>
      </c>
      <c r="H16" s="14">
        <v>6</v>
      </c>
      <c r="I16" s="6">
        <v>3</v>
      </c>
      <c r="J16" s="7">
        <v>8</v>
      </c>
      <c r="K16" s="7">
        <v>7</v>
      </c>
      <c r="L16" s="14">
        <v>3</v>
      </c>
      <c r="M16" s="6">
        <v>5</v>
      </c>
      <c r="N16" s="7">
        <v>4</v>
      </c>
      <c r="O16" s="14">
        <v>2</v>
      </c>
      <c r="P16" s="47">
        <v>5</v>
      </c>
      <c r="Q16" s="7">
        <v>6</v>
      </c>
      <c r="R16" s="7">
        <v>7</v>
      </c>
      <c r="S16" s="14">
        <v>6</v>
      </c>
      <c r="T16" s="20" t="str">
        <f t="shared" si="1"/>
        <v/>
      </c>
      <c r="U16" s="23" t="str">
        <f t="shared" si="2"/>
        <v/>
      </c>
      <c r="V16" s="17" t="str">
        <f>IF(B16&gt;"",RANK(T16,T$5:T$24)+COUNTIF($T$5:T16,T16)-1,"")</f>
        <v/>
      </c>
      <c r="W16" s="20" t="str">
        <f t="shared" si="3"/>
        <v/>
      </c>
      <c r="X16" s="23" t="str">
        <f t="shared" si="4"/>
        <v/>
      </c>
      <c r="Y16" s="20" t="str">
        <f>IF(B16&gt;"",RANK(W16,W$5:W$24)+COUNTIF($W$5:W16,W16)-1,"")</f>
        <v/>
      </c>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row>
    <row r="17" spans="1:83" x14ac:dyDescent="0.2">
      <c r="A17" s="11" t="str">
        <f t="shared" si="0"/>
        <v/>
      </c>
      <c r="B17" s="11"/>
      <c r="C17" s="11"/>
      <c r="D17" s="11"/>
      <c r="E17" s="6">
        <v>4</v>
      </c>
      <c r="F17" s="7">
        <v>2</v>
      </c>
      <c r="G17" s="7">
        <v>3</v>
      </c>
      <c r="H17" s="14">
        <v>4</v>
      </c>
      <c r="I17" s="6">
        <v>5</v>
      </c>
      <c r="J17" s="7">
        <v>6</v>
      </c>
      <c r="K17" s="7">
        <v>4</v>
      </c>
      <c r="L17" s="14">
        <v>4</v>
      </c>
      <c r="M17" s="6">
        <v>5</v>
      </c>
      <c r="N17" s="7">
        <v>6</v>
      </c>
      <c r="O17" s="14">
        <v>7</v>
      </c>
      <c r="P17" s="47">
        <v>6</v>
      </c>
      <c r="Q17" s="7">
        <v>5</v>
      </c>
      <c r="R17" s="7">
        <v>4</v>
      </c>
      <c r="S17" s="14">
        <v>4</v>
      </c>
      <c r="T17" s="20" t="str">
        <f t="shared" si="1"/>
        <v/>
      </c>
      <c r="U17" s="23" t="str">
        <f t="shared" si="2"/>
        <v/>
      </c>
      <c r="V17" s="17" t="str">
        <f>IF(B17&gt;"",RANK(T17,T$5:T$24)+COUNTIF($T$5:T17,T17)-1,"")</f>
        <v/>
      </c>
      <c r="W17" s="20" t="str">
        <f t="shared" si="3"/>
        <v/>
      </c>
      <c r="X17" s="23" t="str">
        <f t="shared" si="4"/>
        <v/>
      </c>
      <c r="Y17" s="20" t="str">
        <f>IF(B17&gt;"",RANK(W17,W$5:W$24)+COUNTIF($W$5:W17,W17)-1,"")</f>
        <v/>
      </c>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row>
    <row r="18" spans="1:83" x14ac:dyDescent="0.2">
      <c r="A18" s="11" t="str">
        <f t="shared" si="0"/>
        <v/>
      </c>
      <c r="B18" s="11"/>
      <c r="C18" s="11"/>
      <c r="D18" s="11"/>
      <c r="E18" s="6">
        <v>4</v>
      </c>
      <c r="F18" s="7">
        <v>4</v>
      </c>
      <c r="G18" s="7">
        <v>4</v>
      </c>
      <c r="H18" s="14">
        <v>4</v>
      </c>
      <c r="I18" s="6">
        <v>10</v>
      </c>
      <c r="J18" s="7">
        <v>4</v>
      </c>
      <c r="K18" s="7">
        <v>4</v>
      </c>
      <c r="L18" s="14">
        <v>4</v>
      </c>
      <c r="M18" s="6">
        <v>4</v>
      </c>
      <c r="N18" s="7">
        <v>4</v>
      </c>
      <c r="O18" s="14">
        <v>4</v>
      </c>
      <c r="P18" s="47">
        <v>4</v>
      </c>
      <c r="Q18" s="7">
        <v>4</v>
      </c>
      <c r="R18" s="7">
        <v>4</v>
      </c>
      <c r="S18" s="14">
        <v>4</v>
      </c>
      <c r="T18" s="20" t="str">
        <f t="shared" si="1"/>
        <v/>
      </c>
      <c r="U18" s="23" t="str">
        <f t="shared" si="2"/>
        <v/>
      </c>
      <c r="V18" s="17" t="str">
        <f>IF(B18&gt;"",RANK(T18,T$5:T$24)+COUNTIF($T$5:T18,T18)-1,"")</f>
        <v/>
      </c>
      <c r="W18" s="20" t="str">
        <f t="shared" si="3"/>
        <v/>
      </c>
      <c r="X18" s="23" t="str">
        <f t="shared" si="4"/>
        <v/>
      </c>
      <c r="Y18" s="20" t="str">
        <f>IF(B18&gt;"",RANK(W18,W$5:W$24)+COUNTIF($W$5:W18,W18)-1,"")</f>
        <v/>
      </c>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row>
    <row r="19" spans="1:83" x14ac:dyDescent="0.2">
      <c r="A19" s="11" t="str">
        <f t="shared" si="0"/>
        <v/>
      </c>
      <c r="B19" s="11"/>
      <c r="C19" s="11"/>
      <c r="D19" s="11"/>
      <c r="E19" s="6">
        <v>1</v>
      </c>
      <c r="F19" s="7">
        <v>10</v>
      </c>
      <c r="G19" s="7">
        <v>10</v>
      </c>
      <c r="H19" s="14">
        <v>3</v>
      </c>
      <c r="I19" s="6">
        <v>3</v>
      </c>
      <c r="J19" s="7">
        <v>3</v>
      </c>
      <c r="K19" s="7">
        <v>3</v>
      </c>
      <c r="L19" s="14">
        <v>3</v>
      </c>
      <c r="M19" s="6">
        <v>3</v>
      </c>
      <c r="N19" s="7">
        <v>3</v>
      </c>
      <c r="O19" s="14">
        <v>3</v>
      </c>
      <c r="P19" s="47">
        <v>3</v>
      </c>
      <c r="Q19" s="7">
        <v>3</v>
      </c>
      <c r="R19" s="7">
        <v>3</v>
      </c>
      <c r="S19" s="14">
        <v>3</v>
      </c>
      <c r="T19" s="20" t="str">
        <f t="shared" si="1"/>
        <v/>
      </c>
      <c r="U19" s="23" t="str">
        <f t="shared" si="2"/>
        <v/>
      </c>
      <c r="V19" s="17" t="str">
        <f>IF(B19&gt;"",RANK(T19,T$5:T$24)+COUNTIF($T$5:T19,T19)-1,"")</f>
        <v/>
      </c>
      <c r="W19" s="20" t="str">
        <f t="shared" si="3"/>
        <v/>
      </c>
      <c r="X19" s="23" t="str">
        <f t="shared" si="4"/>
        <v/>
      </c>
      <c r="Y19" s="20" t="str">
        <f>IF(B19&gt;"",RANK(W19,W$5:W$24)+COUNTIF($W$5:W19,W19)-1,"")</f>
        <v/>
      </c>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row>
    <row r="20" spans="1:83" x14ac:dyDescent="0.2">
      <c r="A20" s="11" t="str">
        <f t="shared" si="0"/>
        <v/>
      </c>
      <c r="B20" s="11"/>
      <c r="C20" s="11"/>
      <c r="D20" s="11"/>
      <c r="E20" s="6"/>
      <c r="F20" s="7"/>
      <c r="G20" s="7"/>
      <c r="H20" s="14"/>
      <c r="I20" s="6"/>
      <c r="J20" s="7"/>
      <c r="K20" s="7"/>
      <c r="L20" s="14"/>
      <c r="M20" s="6"/>
      <c r="N20" s="7"/>
      <c r="O20" s="14"/>
      <c r="P20" s="47"/>
      <c r="Q20" s="7"/>
      <c r="R20" s="7"/>
      <c r="S20" s="14"/>
      <c r="T20" s="20" t="str">
        <f t="shared" si="1"/>
        <v/>
      </c>
      <c r="U20" s="23" t="str">
        <f t="shared" si="2"/>
        <v/>
      </c>
      <c r="V20" s="17" t="str">
        <f>IF(B20&gt;"",RANK(T20,T$5:T$24)+COUNTIF($T$5:T20,T20)-1,"")</f>
        <v/>
      </c>
      <c r="W20" s="20" t="str">
        <f t="shared" si="3"/>
        <v/>
      </c>
      <c r="X20" s="23" t="str">
        <f t="shared" si="4"/>
        <v/>
      </c>
      <c r="Y20" s="20" t="str">
        <f>IF(B20&gt;"",RANK(W20,W$5:W$24)+COUNTIF($W$5:W20,W20)-1,"")</f>
        <v/>
      </c>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row>
    <row r="21" spans="1:83" x14ac:dyDescent="0.2">
      <c r="A21" s="11" t="str">
        <f t="shared" si="0"/>
        <v/>
      </c>
      <c r="B21" s="11"/>
      <c r="C21" s="11"/>
      <c r="D21" s="11"/>
      <c r="E21" s="6"/>
      <c r="F21" s="7"/>
      <c r="G21" s="7"/>
      <c r="H21" s="14"/>
      <c r="I21" s="6"/>
      <c r="J21" s="7"/>
      <c r="K21" s="7"/>
      <c r="L21" s="14"/>
      <c r="M21" s="6"/>
      <c r="N21" s="7"/>
      <c r="O21" s="14"/>
      <c r="P21" s="47"/>
      <c r="Q21" s="7"/>
      <c r="R21" s="7"/>
      <c r="S21" s="14"/>
      <c r="T21" s="20" t="str">
        <f t="shared" si="1"/>
        <v/>
      </c>
      <c r="U21" s="23" t="str">
        <f t="shared" si="2"/>
        <v/>
      </c>
      <c r="V21" s="17" t="str">
        <f>IF(B21&gt;"",RANK(T21,T$5:T$24)+COUNTIF($T$5:T21,T21)-1,"")</f>
        <v/>
      </c>
      <c r="W21" s="20" t="str">
        <f t="shared" si="3"/>
        <v/>
      </c>
      <c r="X21" s="23" t="str">
        <f t="shared" si="4"/>
        <v/>
      </c>
      <c r="Y21" s="20" t="str">
        <f>IF(B21&gt;"",RANK(W21,W$5:W$24)+COUNTIF($W$5:W21,W21)-1,"")</f>
        <v/>
      </c>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row>
    <row r="22" spans="1:83" x14ac:dyDescent="0.2">
      <c r="A22" s="11" t="str">
        <f t="shared" si="0"/>
        <v/>
      </c>
      <c r="B22" s="11"/>
      <c r="C22" s="11"/>
      <c r="D22" s="11"/>
      <c r="E22" s="6"/>
      <c r="F22" s="7"/>
      <c r="G22" s="7"/>
      <c r="H22" s="14"/>
      <c r="I22" s="6"/>
      <c r="J22" s="7"/>
      <c r="K22" s="7"/>
      <c r="L22" s="14"/>
      <c r="M22" s="6"/>
      <c r="N22" s="7"/>
      <c r="O22" s="14"/>
      <c r="P22" s="47"/>
      <c r="Q22" s="7"/>
      <c r="R22" s="7"/>
      <c r="S22" s="14"/>
      <c r="T22" s="20" t="str">
        <f t="shared" si="1"/>
        <v/>
      </c>
      <c r="U22" s="23" t="str">
        <f t="shared" si="2"/>
        <v/>
      </c>
      <c r="V22" s="17" t="str">
        <f>IF(B22&gt;"",RANK(T22,T$5:T$24)+COUNTIF($T$5:T22,T22)-1,"")</f>
        <v/>
      </c>
      <c r="W22" s="20" t="str">
        <f t="shared" si="3"/>
        <v/>
      </c>
      <c r="X22" s="23" t="str">
        <f t="shared" si="4"/>
        <v/>
      </c>
      <c r="Y22" s="20" t="str">
        <f>IF(B22&gt;"",RANK(W22,W$5:W$24)+COUNTIF($W$5:W22,W22)-1,"")</f>
        <v/>
      </c>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row>
    <row r="23" spans="1:83" x14ac:dyDescent="0.2">
      <c r="A23" s="11" t="str">
        <f t="shared" si="0"/>
        <v/>
      </c>
      <c r="B23" s="11"/>
      <c r="C23" s="11"/>
      <c r="D23" s="11"/>
      <c r="E23" s="6"/>
      <c r="F23" s="7"/>
      <c r="G23" s="7"/>
      <c r="H23" s="14"/>
      <c r="I23" s="6"/>
      <c r="J23" s="7"/>
      <c r="K23" s="7"/>
      <c r="L23" s="14"/>
      <c r="M23" s="6"/>
      <c r="N23" s="7"/>
      <c r="O23" s="14"/>
      <c r="P23" s="47"/>
      <c r="Q23" s="7"/>
      <c r="R23" s="7"/>
      <c r="S23" s="14"/>
      <c r="T23" s="20" t="str">
        <f t="shared" si="1"/>
        <v/>
      </c>
      <c r="U23" s="23" t="str">
        <f t="shared" si="2"/>
        <v/>
      </c>
      <c r="V23" s="17" t="str">
        <f>IF(B23&gt;"",RANK(T23,T$5:T$24)+COUNTIF($T$5:T23,T23)-1,"")</f>
        <v/>
      </c>
      <c r="W23" s="20" t="str">
        <f t="shared" si="3"/>
        <v/>
      </c>
      <c r="X23" s="23" t="str">
        <f t="shared" si="4"/>
        <v/>
      </c>
      <c r="Y23" s="20" t="str">
        <f>IF(B23&gt;"",RANK(W23,W$5:W$24)+COUNTIF($W$5:W23,W23)-1,"")</f>
        <v/>
      </c>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row>
    <row r="24" spans="1:83" ht="16" thickBot="1" x14ac:dyDescent="0.25">
      <c r="A24" s="12" t="str">
        <f t="shared" si="0"/>
        <v/>
      </c>
      <c r="B24" s="12"/>
      <c r="C24" s="12"/>
      <c r="D24" s="12"/>
      <c r="E24" s="8"/>
      <c r="F24" s="9"/>
      <c r="G24" s="9"/>
      <c r="H24" s="15"/>
      <c r="I24" s="8"/>
      <c r="J24" s="9"/>
      <c r="K24" s="9"/>
      <c r="L24" s="15"/>
      <c r="M24" s="8"/>
      <c r="N24" s="9"/>
      <c r="O24" s="15"/>
      <c r="P24" s="48"/>
      <c r="Q24" s="9"/>
      <c r="R24" s="9"/>
      <c r="S24" s="15"/>
      <c r="T24" s="21" t="str">
        <f t="shared" si="1"/>
        <v/>
      </c>
      <c r="U24" s="24" t="str">
        <f t="shared" si="2"/>
        <v/>
      </c>
      <c r="V24" s="18" t="str">
        <f>IF(B24&gt;"",RANK(T24,T$5:T$24)+COUNTIF($T$5:T24,T24)-1,"")</f>
        <v/>
      </c>
      <c r="W24" s="21" t="str">
        <f t="shared" si="3"/>
        <v/>
      </c>
      <c r="X24" s="24" t="str">
        <f t="shared" si="4"/>
        <v/>
      </c>
      <c r="Y24" s="21" t="str">
        <f>IF(B24&gt;"",RANK(W24,W$5:W$24)+COUNTIF($W$5:W24,W24)-1,"")</f>
        <v/>
      </c>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row>
    <row r="25" spans="1:83" x14ac:dyDescent="0.2">
      <c r="A25" s="2"/>
      <c r="B25" s="2"/>
      <c r="C25" s="2"/>
      <c r="D25" s="2"/>
      <c r="E25" s="3"/>
      <c r="F25" s="3"/>
      <c r="G25" s="3"/>
      <c r="H25" s="3"/>
      <c r="I25" s="3"/>
      <c r="J25" s="3"/>
      <c r="K25" s="3"/>
      <c r="L25" s="3"/>
      <c r="M25" s="3"/>
      <c r="N25" s="3"/>
      <c r="O25" s="3"/>
      <c r="P25" s="3"/>
      <c r="Q25" s="3"/>
      <c r="R25" s="3"/>
      <c r="S25" s="3"/>
      <c r="T25" s="2"/>
      <c r="U25" s="25"/>
      <c r="V25" s="2"/>
      <c r="W25" s="3"/>
      <c r="X25" s="27"/>
      <c r="Y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row>
    <row r="26" spans="1:83" ht="19" x14ac:dyDescent="0.25">
      <c r="A26" s="2"/>
      <c r="B26" s="2"/>
      <c r="C26" s="2"/>
      <c r="D26" s="2"/>
      <c r="E26" s="3"/>
      <c r="F26" s="54" t="s">
        <v>23</v>
      </c>
      <c r="G26" s="54"/>
      <c r="H26" s="54"/>
      <c r="I26" s="54"/>
      <c r="J26" s="3"/>
      <c r="K26" s="3"/>
      <c r="L26" s="3"/>
      <c r="M26" s="3"/>
      <c r="N26" s="54" t="s">
        <v>20</v>
      </c>
      <c r="O26" s="54"/>
      <c r="P26" s="54"/>
      <c r="Q26" s="54"/>
      <c r="R26" s="54"/>
      <c r="S26" s="54"/>
      <c r="T26" s="2"/>
      <c r="U26" s="25"/>
      <c r="V26" s="2"/>
      <c r="W26" s="3"/>
      <c r="X26" s="27"/>
      <c r="Y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row>
    <row r="27" spans="1:83" ht="16" thickBot="1" x14ac:dyDescent="0.25">
      <c r="A27" s="2"/>
      <c r="B27" s="2"/>
      <c r="C27" s="2"/>
      <c r="D27" s="2"/>
      <c r="E27" s="3"/>
      <c r="F27" s="53" t="s">
        <v>18</v>
      </c>
      <c r="G27" s="53"/>
      <c r="H27" s="53" t="s">
        <v>17</v>
      </c>
      <c r="I27" s="53"/>
      <c r="J27" s="3"/>
      <c r="K27" s="3"/>
      <c r="L27" s="3"/>
      <c r="M27" s="49" t="s">
        <v>1</v>
      </c>
      <c r="N27" s="34" t="s">
        <v>12</v>
      </c>
      <c r="O27" s="36" t="s">
        <v>22</v>
      </c>
      <c r="P27" s="34" t="s">
        <v>13</v>
      </c>
      <c r="Q27" s="34" t="s">
        <v>14</v>
      </c>
      <c r="R27" s="36" t="s">
        <v>15</v>
      </c>
      <c r="S27" s="34" t="s">
        <v>16</v>
      </c>
      <c r="T27" s="2"/>
      <c r="U27" s="25"/>
      <c r="V27" s="2"/>
      <c r="W27" s="3"/>
      <c r="X27" s="27"/>
      <c r="Y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row>
    <row r="28" spans="1:83" x14ac:dyDescent="0.2">
      <c r="A28" s="2"/>
      <c r="B28" s="2"/>
      <c r="C28" s="2"/>
      <c r="D28" s="2"/>
      <c r="E28" s="2">
        <v>1</v>
      </c>
      <c r="F28" s="50" t="str">
        <f t="shared" ref="F28:F37" si="5">VLOOKUP(E28,A$5:B$24,2,FALSE)</f>
        <v>Batman</v>
      </c>
      <c r="G28" s="51"/>
      <c r="H28" s="2">
        <f>MAX(A$5:A$24)</f>
        <v>1</v>
      </c>
      <c r="I28" s="2" t="str">
        <f t="shared" ref="I28:I37" si="6">VLOOKUP(H28,A$5:B$24,2,FALSE)</f>
        <v>Batman</v>
      </c>
      <c r="J28" s="3"/>
      <c r="K28" s="3"/>
      <c r="L28" s="3"/>
      <c r="M28" s="35" t="s">
        <v>32</v>
      </c>
      <c r="N28" s="37">
        <f>SUMIFS(uwscore,D$5:D$24,M28)</f>
        <v>0</v>
      </c>
      <c r="O28" s="38" t="e">
        <f>AVERAGEIF(D$5:D$24,M28,uwscore)</f>
        <v>#DIV/0!</v>
      </c>
      <c r="P28" s="39" t="e">
        <f>O28/150</f>
        <v>#DIV/0!</v>
      </c>
      <c r="Q28" s="40">
        <f>SUMIFS(wscore,D$5:D$24,M28)</f>
        <v>0</v>
      </c>
      <c r="R28" s="38" t="e">
        <f>AVERAGEIF(D$5:D$24,M28,wscore)</f>
        <v>#DIV/0!</v>
      </c>
      <c r="S28" s="39" t="e">
        <f>R28/150</f>
        <v>#DIV/0!</v>
      </c>
      <c r="T28" s="2"/>
      <c r="U28" s="25"/>
      <c r="V28" s="2"/>
      <c r="W28" s="3"/>
      <c r="X28" s="27"/>
      <c r="Y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row>
    <row r="29" spans="1:83" x14ac:dyDescent="0.2">
      <c r="A29" s="2"/>
      <c r="B29" s="2"/>
      <c r="C29" s="2"/>
      <c r="D29" s="2"/>
      <c r="E29" s="2">
        <v>2</v>
      </c>
      <c r="F29" s="50" t="e">
        <f t="shared" si="5"/>
        <v>#N/A</v>
      </c>
      <c r="G29" s="52"/>
      <c r="H29" s="2">
        <f>H28-1</f>
        <v>0</v>
      </c>
      <c r="I29" s="2" t="e">
        <f t="shared" si="6"/>
        <v>#N/A</v>
      </c>
      <c r="J29" s="3"/>
      <c r="K29" s="3"/>
      <c r="L29" s="3"/>
      <c r="M29" s="35" t="s">
        <v>31</v>
      </c>
      <c r="N29" s="41">
        <f>SUMIFS(uwscore,D$5:D$24,M29)</f>
        <v>135</v>
      </c>
      <c r="O29" s="42">
        <f>AVERAGEIF(D$5:D$24,M29,uwscore)</f>
        <v>135</v>
      </c>
      <c r="P29" s="43">
        <f>O29/150</f>
        <v>0.9</v>
      </c>
      <c r="Q29" s="44">
        <f>SUMIFS(wscore,D$5:D$24,M29)</f>
        <v>118.20000000000002</v>
      </c>
      <c r="R29" s="42">
        <f>AVERAGEIF(D$5:D$24,M29,wscore)</f>
        <v>118.20000000000002</v>
      </c>
      <c r="S29" s="43">
        <f>R29/150</f>
        <v>0.78800000000000014</v>
      </c>
      <c r="T29" s="2"/>
      <c r="U29" s="25"/>
      <c r="V29" s="2"/>
      <c r="W29" s="3"/>
      <c r="X29" s="27"/>
      <c r="Y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row>
    <row r="30" spans="1:83" x14ac:dyDescent="0.2">
      <c r="A30" s="2"/>
      <c r="B30" s="2"/>
      <c r="C30" s="2"/>
      <c r="D30" s="2"/>
      <c r="E30" s="2">
        <v>3</v>
      </c>
      <c r="F30" s="50" t="e">
        <f t="shared" si="5"/>
        <v>#N/A</v>
      </c>
      <c r="G30" s="52"/>
      <c r="H30" s="2">
        <f t="shared" ref="H30:H37" si="7">H29-1</f>
        <v>-1</v>
      </c>
      <c r="I30" s="2" t="e">
        <f t="shared" si="6"/>
        <v>#N/A</v>
      </c>
      <c r="J30" s="3"/>
      <c r="K30" s="3"/>
      <c r="L30" s="3"/>
      <c r="M30" s="35" t="s">
        <v>33</v>
      </c>
      <c r="N30" s="41">
        <f>SUMIFS(uwscore,D$5:D$24,M30)</f>
        <v>0</v>
      </c>
      <c r="O30" s="42" t="e">
        <f>AVERAGEIF(D$5:D$24,M30,uwscore)</f>
        <v>#DIV/0!</v>
      </c>
      <c r="P30" s="43" t="e">
        <f>O30/150</f>
        <v>#DIV/0!</v>
      </c>
      <c r="Q30" s="44">
        <f>SUMIFS(wscore,D$5:D$24,M30)</f>
        <v>0</v>
      </c>
      <c r="R30" s="42" t="e">
        <f>AVERAGEIF(D$5:D$24,M30,wscore)</f>
        <v>#DIV/0!</v>
      </c>
      <c r="S30" s="43" t="e">
        <f>R30/150</f>
        <v>#DIV/0!</v>
      </c>
      <c r="T30" s="2"/>
      <c r="U30" s="25"/>
      <c r="V30" s="2"/>
      <c r="W30" s="3"/>
      <c r="X30" s="27"/>
      <c r="Y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row>
    <row r="31" spans="1:83" x14ac:dyDescent="0.2">
      <c r="A31" s="2"/>
      <c r="B31" s="2"/>
      <c r="C31" s="2"/>
      <c r="D31" s="2"/>
      <c r="E31" s="2">
        <v>4</v>
      </c>
      <c r="F31" s="50" t="e">
        <f t="shared" si="5"/>
        <v>#N/A</v>
      </c>
      <c r="G31" s="52"/>
      <c r="H31" s="2">
        <f t="shared" si="7"/>
        <v>-2</v>
      </c>
      <c r="I31" s="2" t="e">
        <f t="shared" si="6"/>
        <v>#N/A</v>
      </c>
      <c r="J31" s="3"/>
      <c r="K31" s="3"/>
      <c r="L31" s="3"/>
      <c r="M31" s="35"/>
      <c r="N31" s="41"/>
      <c r="O31" s="42"/>
      <c r="P31" s="43"/>
      <c r="Q31" s="44"/>
      <c r="R31" s="42"/>
      <c r="S31" s="43"/>
      <c r="T31" s="2"/>
      <c r="U31" s="25"/>
      <c r="V31" s="2"/>
      <c r="W31" s="3"/>
      <c r="X31" s="27"/>
      <c r="Y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row>
    <row r="32" spans="1:83" x14ac:dyDescent="0.2">
      <c r="A32" s="2"/>
      <c r="B32" s="2"/>
      <c r="C32" s="2"/>
      <c r="D32" s="2"/>
      <c r="E32" s="2">
        <v>5</v>
      </c>
      <c r="F32" s="50" t="e">
        <f t="shared" si="5"/>
        <v>#N/A</v>
      </c>
      <c r="G32" s="52"/>
      <c r="H32" s="2">
        <f t="shared" si="7"/>
        <v>-3</v>
      </c>
      <c r="I32" s="2" t="e">
        <f t="shared" si="6"/>
        <v>#N/A</v>
      </c>
      <c r="J32" s="3"/>
      <c r="K32" s="3"/>
      <c r="L32" s="3"/>
      <c r="M32" s="3"/>
      <c r="O32" s="3"/>
      <c r="P32" s="3"/>
      <c r="Q32" s="3"/>
      <c r="R32" s="3"/>
      <c r="S32" s="3"/>
      <c r="T32" s="2"/>
      <c r="U32" s="25"/>
      <c r="V32" s="2"/>
      <c r="W32" s="3"/>
      <c r="X32" s="27"/>
      <c r="Y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row>
    <row r="33" spans="1:83" ht="19" x14ac:dyDescent="0.25">
      <c r="A33" s="2"/>
      <c r="B33" s="2"/>
      <c r="C33" s="2"/>
      <c r="D33" s="2"/>
      <c r="E33" s="2">
        <v>6</v>
      </c>
      <c r="F33" s="50" t="e">
        <f t="shared" si="5"/>
        <v>#N/A</v>
      </c>
      <c r="G33" s="52"/>
      <c r="H33" s="2">
        <f t="shared" si="7"/>
        <v>-4</v>
      </c>
      <c r="I33" s="2" t="e">
        <f t="shared" si="6"/>
        <v>#N/A</v>
      </c>
      <c r="J33" s="3"/>
      <c r="K33" s="3"/>
      <c r="L33" s="3"/>
      <c r="M33" s="3"/>
      <c r="N33" s="54" t="s">
        <v>21</v>
      </c>
      <c r="O33" s="54"/>
      <c r="P33" s="54"/>
      <c r="Q33" s="54"/>
      <c r="R33" s="54"/>
      <c r="S33" s="54"/>
      <c r="T33" s="2"/>
      <c r="U33" s="25"/>
      <c r="V33" s="2"/>
      <c r="W33" s="3"/>
      <c r="X33" s="27"/>
      <c r="Y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row>
    <row r="34" spans="1:83" ht="16" thickBot="1" x14ac:dyDescent="0.25">
      <c r="A34" s="2"/>
      <c r="B34" s="2"/>
      <c r="C34" s="2"/>
      <c r="D34" s="2"/>
      <c r="E34" s="2">
        <v>7</v>
      </c>
      <c r="F34" s="50" t="e">
        <f t="shared" si="5"/>
        <v>#N/A</v>
      </c>
      <c r="G34" s="52"/>
      <c r="H34" s="2">
        <f t="shared" si="7"/>
        <v>-5</v>
      </c>
      <c r="I34" s="2" t="e">
        <f t="shared" si="6"/>
        <v>#N/A</v>
      </c>
      <c r="J34" s="3"/>
      <c r="K34" s="3"/>
      <c r="L34" s="3"/>
      <c r="M34" s="49" t="s">
        <v>19</v>
      </c>
      <c r="N34" s="34" t="s">
        <v>12</v>
      </c>
      <c r="O34" s="36" t="s">
        <v>22</v>
      </c>
      <c r="P34" s="34" t="s">
        <v>13</v>
      </c>
      <c r="Q34" s="34" t="s">
        <v>14</v>
      </c>
      <c r="R34" s="36" t="s">
        <v>15</v>
      </c>
      <c r="S34" s="34" t="s">
        <v>16</v>
      </c>
      <c r="T34" s="2"/>
      <c r="U34" s="25"/>
      <c r="V34" s="2"/>
      <c r="W34" s="3"/>
      <c r="X34" s="27"/>
      <c r="Y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row>
    <row r="35" spans="1:83" x14ac:dyDescent="0.2">
      <c r="A35" s="2"/>
      <c r="B35" s="2"/>
      <c r="C35" s="2"/>
      <c r="D35" s="2"/>
      <c r="E35" s="2">
        <v>8</v>
      </c>
      <c r="F35" s="50" t="e">
        <f t="shared" si="5"/>
        <v>#N/A</v>
      </c>
      <c r="G35" s="52"/>
      <c r="H35" s="2">
        <f t="shared" si="7"/>
        <v>-6</v>
      </c>
      <c r="I35" s="2" t="e">
        <f t="shared" si="6"/>
        <v>#N/A</v>
      </c>
      <c r="J35" s="3"/>
      <c r="K35" s="3"/>
      <c r="L35" s="3"/>
      <c r="M35" s="35" t="s">
        <v>26</v>
      </c>
      <c r="N35" s="37">
        <f>SUMIFS(uwscore,C$5:C$24,M35)</f>
        <v>0</v>
      </c>
      <c r="O35" s="38" t="e">
        <f>AVERAGEIF(C$5:C$24,M35,uwscore)</f>
        <v>#DIV/0!</v>
      </c>
      <c r="P35" s="39" t="e">
        <f>O35/150</f>
        <v>#DIV/0!</v>
      </c>
      <c r="Q35" s="40">
        <f>SUMIFS(wscore,C$5:C$24,M35)</f>
        <v>0</v>
      </c>
      <c r="R35" s="38" t="e">
        <f>AVERAGEIF(C$5:C$24,M35,wscore)</f>
        <v>#DIV/0!</v>
      </c>
      <c r="S35" s="39" t="e">
        <f>R35/150</f>
        <v>#DIV/0!</v>
      </c>
      <c r="T35" s="2"/>
      <c r="U35" s="25"/>
      <c r="V35" s="2"/>
      <c r="W35" s="3"/>
      <c r="X35" s="27"/>
      <c r="Y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row>
    <row r="36" spans="1:83" x14ac:dyDescent="0.2">
      <c r="A36" s="2"/>
      <c r="B36" s="2"/>
      <c r="C36" s="2"/>
      <c r="D36" s="2"/>
      <c r="E36" s="2">
        <v>9</v>
      </c>
      <c r="F36" s="50" t="e">
        <f t="shared" si="5"/>
        <v>#N/A</v>
      </c>
      <c r="G36" s="52"/>
      <c r="H36" s="2">
        <f t="shared" si="7"/>
        <v>-7</v>
      </c>
      <c r="I36" s="2" t="e">
        <f t="shared" si="6"/>
        <v>#N/A</v>
      </c>
      <c r="J36" s="3"/>
      <c r="K36" s="3"/>
      <c r="L36" s="3"/>
      <c r="M36" s="35" t="s">
        <v>25</v>
      </c>
      <c r="N36" s="41">
        <f>SUMIFS(uwscore,C$5:C$24,M36)</f>
        <v>135</v>
      </c>
      <c r="O36" s="42">
        <f>AVERAGEIF(C$5:C$24,M36,uwscore)</f>
        <v>135</v>
      </c>
      <c r="P36" s="43">
        <f>O36/150</f>
        <v>0.9</v>
      </c>
      <c r="Q36" s="44">
        <f>SUMIFS(wscore,C$5:C$24,M36)</f>
        <v>118.20000000000002</v>
      </c>
      <c r="R36" s="42">
        <f>AVERAGEIF(C$5:C$24,M36,wscore)</f>
        <v>118.20000000000002</v>
      </c>
      <c r="S36" s="43">
        <f>R36/150</f>
        <v>0.78800000000000014</v>
      </c>
      <c r="T36" s="2"/>
      <c r="U36" s="25"/>
      <c r="V36" s="2"/>
      <c r="W36" s="3"/>
      <c r="X36" s="27"/>
      <c r="Y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row>
    <row r="37" spans="1:83" x14ac:dyDescent="0.2">
      <c r="A37" s="2"/>
      <c r="B37" s="2"/>
      <c r="C37" s="2"/>
      <c r="D37" s="2"/>
      <c r="E37" s="2">
        <v>10</v>
      </c>
      <c r="F37" s="50" t="e">
        <f t="shared" si="5"/>
        <v>#N/A</v>
      </c>
      <c r="G37" s="52"/>
      <c r="H37" s="2">
        <f t="shared" si="7"/>
        <v>-8</v>
      </c>
      <c r="I37" s="2" t="e">
        <f t="shared" si="6"/>
        <v>#N/A</v>
      </c>
      <c r="J37" s="3"/>
      <c r="K37" s="3"/>
      <c r="L37" s="3"/>
      <c r="M37" s="35" t="s">
        <v>27</v>
      </c>
      <c r="N37" s="41">
        <f>SUMIFS(uwscore,C$5:C$24,M37)</f>
        <v>0</v>
      </c>
      <c r="O37" s="42" t="e">
        <f>AVERAGEIF(C$5:C$24,M37,uwscore)</f>
        <v>#DIV/0!</v>
      </c>
      <c r="P37" s="43" t="e">
        <f>O37/150</f>
        <v>#DIV/0!</v>
      </c>
      <c r="Q37" s="44">
        <f>SUMIFS(wscore,C$5:C$24,M37)</f>
        <v>0</v>
      </c>
      <c r="R37" s="42" t="e">
        <f>AVERAGEIF(C$5:C$24,M37,wscore)</f>
        <v>#DIV/0!</v>
      </c>
      <c r="S37" s="43" t="e">
        <f>R37/150</f>
        <v>#DIV/0!</v>
      </c>
      <c r="T37" s="2"/>
      <c r="U37" s="25"/>
      <c r="V37" s="2"/>
      <c r="W37" s="3"/>
      <c r="X37" s="27"/>
      <c r="Y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row>
    <row r="38" spans="1:83" x14ac:dyDescent="0.2">
      <c r="A38" s="2"/>
      <c r="B38" s="2"/>
      <c r="C38" s="2"/>
      <c r="D38" s="2"/>
      <c r="E38" s="3"/>
      <c r="F38" s="3"/>
      <c r="G38" s="3"/>
      <c r="H38" s="3"/>
      <c r="I38" s="3"/>
      <c r="J38" s="3"/>
      <c r="K38" s="3"/>
      <c r="L38" s="3"/>
      <c r="M38" s="35" t="s">
        <v>28</v>
      </c>
      <c r="N38" s="41">
        <f>SUMIFS(uwscore,C$5:C$24,M38)</f>
        <v>0</v>
      </c>
      <c r="O38" s="42" t="e">
        <f>AVERAGEIF(C$5:C$24,M38,uwscore)</f>
        <v>#DIV/0!</v>
      </c>
      <c r="P38" s="43" t="e">
        <f>O38/150</f>
        <v>#DIV/0!</v>
      </c>
      <c r="Q38" s="44">
        <f>SUMIFS(wscore,C$5:C$24,M38)</f>
        <v>0</v>
      </c>
      <c r="R38" s="42" t="e">
        <f>AVERAGEIF(C$5:C$24,M38,wscore)</f>
        <v>#DIV/0!</v>
      </c>
      <c r="S38" s="43" t="e">
        <f>R38/150</f>
        <v>#DIV/0!</v>
      </c>
      <c r="T38" s="2"/>
      <c r="U38" s="25"/>
      <c r="V38" s="2"/>
      <c r="W38" s="3"/>
      <c r="X38" s="27"/>
      <c r="Y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row>
    <row r="39" spans="1:83" x14ac:dyDescent="0.2">
      <c r="A39" s="2"/>
      <c r="B39" s="2"/>
      <c r="C39" s="2"/>
      <c r="D39" s="2"/>
      <c r="E39" s="3"/>
      <c r="F39" s="3"/>
      <c r="G39" s="3"/>
      <c r="H39" s="3"/>
      <c r="I39" s="3"/>
      <c r="J39" s="3"/>
      <c r="K39" s="3"/>
      <c r="L39" s="3"/>
      <c r="M39" s="35"/>
      <c r="N39" s="41"/>
      <c r="O39" s="42"/>
      <c r="P39" s="43"/>
      <c r="Q39" s="44"/>
      <c r="R39" s="42"/>
      <c r="S39" s="43"/>
      <c r="T39" s="2"/>
      <c r="U39" s="25"/>
      <c r="V39" s="2"/>
      <c r="W39" s="3"/>
      <c r="X39" s="27"/>
      <c r="Y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row>
    <row r="40" spans="1:83" x14ac:dyDescent="0.2">
      <c r="A40" s="2"/>
      <c r="B40" s="2"/>
      <c r="C40" s="2"/>
      <c r="D40" s="2"/>
      <c r="E40" s="3"/>
      <c r="F40" s="3"/>
      <c r="G40" s="3"/>
      <c r="H40" s="3"/>
      <c r="I40" s="3"/>
      <c r="J40" s="3"/>
      <c r="K40" s="3"/>
      <c r="L40" s="3"/>
      <c r="M40" s="3"/>
      <c r="N40" s="3"/>
      <c r="O40" s="3"/>
      <c r="P40" s="3"/>
      <c r="Q40" s="3"/>
      <c r="R40" s="3"/>
      <c r="S40" s="3"/>
      <c r="T40" s="2"/>
      <c r="U40" s="25"/>
      <c r="V40" s="2"/>
      <c r="W40" s="3"/>
      <c r="X40" s="27"/>
      <c r="Y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row>
    <row r="41" spans="1:83" x14ac:dyDescent="0.2">
      <c r="A41" s="2"/>
      <c r="B41" s="2"/>
      <c r="C41" s="2"/>
      <c r="D41" s="2"/>
      <c r="E41" s="3"/>
      <c r="F41" s="3"/>
      <c r="G41" s="3"/>
      <c r="H41" s="3"/>
      <c r="I41" s="3"/>
      <c r="J41" s="3"/>
      <c r="K41" s="3"/>
      <c r="L41" s="3"/>
      <c r="M41" s="3"/>
      <c r="N41" s="3"/>
      <c r="O41" s="3"/>
      <c r="P41" s="3"/>
      <c r="Q41" s="3"/>
      <c r="R41" s="3"/>
      <c r="S41" s="3"/>
      <c r="T41" s="2"/>
      <c r="U41" s="25"/>
      <c r="V41" s="2"/>
      <c r="W41" s="3"/>
      <c r="X41" s="27"/>
      <c r="Y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row>
    <row r="42" spans="1:83" x14ac:dyDescent="0.2">
      <c r="A42" s="2"/>
      <c r="B42" s="2"/>
      <c r="C42" s="2"/>
      <c r="D42" s="2"/>
      <c r="E42" s="3"/>
      <c r="F42" s="3"/>
      <c r="G42" s="3"/>
      <c r="H42" s="3"/>
      <c r="I42" s="3"/>
      <c r="J42" s="3"/>
      <c r="K42" s="3"/>
      <c r="L42" s="3"/>
      <c r="M42" s="3"/>
      <c r="N42" s="3"/>
      <c r="O42" s="3"/>
      <c r="P42" s="3"/>
      <c r="Q42" s="3"/>
      <c r="R42" s="3"/>
      <c r="S42" s="3"/>
      <c r="T42" s="2"/>
      <c r="U42" s="25"/>
      <c r="V42" s="2"/>
      <c r="W42" s="3"/>
      <c r="X42" s="27"/>
      <c r="Y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row>
    <row r="43" spans="1:83" x14ac:dyDescent="0.2">
      <c r="A43" s="2"/>
      <c r="B43" s="2"/>
      <c r="C43" s="2"/>
      <c r="D43" s="2"/>
      <c r="E43" s="3"/>
      <c r="F43" s="3"/>
      <c r="G43" s="3"/>
      <c r="H43" s="3"/>
      <c r="I43" s="3"/>
      <c r="J43" s="3"/>
      <c r="K43" s="3"/>
      <c r="L43" s="3"/>
      <c r="M43" s="3"/>
      <c r="N43" s="3"/>
      <c r="O43" s="3"/>
      <c r="P43" s="3"/>
      <c r="Q43" s="3"/>
      <c r="R43" s="3"/>
      <c r="S43" s="3"/>
      <c r="T43" s="2"/>
      <c r="U43" s="25"/>
      <c r="V43" s="2"/>
      <c r="W43" s="3"/>
      <c r="X43" s="27"/>
      <c r="Y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row>
    <row r="44" spans="1:83" x14ac:dyDescent="0.2">
      <c r="A44" s="2"/>
      <c r="B44" s="2"/>
      <c r="C44" s="2"/>
      <c r="D44" s="2"/>
      <c r="E44" s="3"/>
      <c r="F44" s="3"/>
      <c r="G44" s="3"/>
      <c r="H44" s="3"/>
      <c r="I44" s="3"/>
      <c r="J44" s="3"/>
      <c r="K44" s="3"/>
      <c r="L44" s="3"/>
      <c r="M44" s="3"/>
      <c r="N44" s="3"/>
      <c r="O44" s="3"/>
      <c r="P44" s="3"/>
      <c r="Q44" s="3"/>
      <c r="R44" s="3"/>
      <c r="S44" s="3"/>
      <c r="T44" s="2"/>
      <c r="U44" s="25"/>
      <c r="V44" s="2"/>
      <c r="W44" s="3"/>
      <c r="X44" s="27"/>
      <c r="Y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row>
    <row r="45" spans="1:83" x14ac:dyDescent="0.2">
      <c r="A45" s="2"/>
      <c r="B45" s="2"/>
      <c r="C45" s="2"/>
      <c r="D45" s="2"/>
      <c r="E45" s="3"/>
      <c r="F45" s="3"/>
      <c r="G45" s="3"/>
      <c r="H45" s="3"/>
      <c r="I45" s="3"/>
      <c r="J45" s="3"/>
      <c r="K45" s="3"/>
      <c r="L45" s="3"/>
      <c r="M45" s="3"/>
      <c r="N45" s="3"/>
      <c r="O45" s="3"/>
      <c r="P45" s="3"/>
      <c r="Q45" s="3"/>
      <c r="R45" s="3"/>
      <c r="S45" s="3"/>
      <c r="T45" s="2"/>
      <c r="U45" s="25"/>
      <c r="V45" s="2"/>
      <c r="W45" s="3"/>
      <c r="X45" s="27"/>
      <c r="Y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row>
    <row r="46" spans="1:83" x14ac:dyDescent="0.2">
      <c r="A46" s="2"/>
      <c r="B46" s="2"/>
      <c r="C46" s="2"/>
      <c r="D46" s="2"/>
      <c r="E46" s="3"/>
      <c r="F46" s="3"/>
      <c r="G46" s="3"/>
      <c r="H46" s="3"/>
      <c r="I46" s="3"/>
      <c r="J46" s="3"/>
      <c r="K46" s="3"/>
      <c r="L46" s="3"/>
      <c r="M46" s="3"/>
      <c r="N46" s="3"/>
      <c r="O46" s="3"/>
      <c r="P46" s="3"/>
      <c r="Q46" s="3"/>
      <c r="R46" s="3"/>
      <c r="S46" s="3"/>
      <c r="T46" s="2"/>
      <c r="U46" s="25"/>
      <c r="V46" s="2"/>
      <c r="W46" s="3"/>
      <c r="X46" s="27"/>
      <c r="Y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row>
    <row r="47" spans="1:83" x14ac:dyDescent="0.2">
      <c r="A47" s="2"/>
      <c r="B47" s="2"/>
      <c r="C47" s="2"/>
      <c r="D47" s="2"/>
      <c r="E47" s="3"/>
      <c r="F47" s="3"/>
      <c r="G47" s="3"/>
      <c r="H47" s="3"/>
      <c r="I47" s="3"/>
      <c r="J47" s="3"/>
      <c r="K47" s="3"/>
      <c r="L47" s="3"/>
      <c r="M47" s="3"/>
      <c r="N47" s="3"/>
      <c r="O47" s="3"/>
      <c r="P47" s="3"/>
      <c r="Q47" s="3"/>
      <c r="R47" s="3"/>
      <c r="S47" s="3"/>
      <c r="T47" s="2"/>
      <c r="U47" s="25"/>
      <c r="V47" s="2"/>
      <c r="W47" s="3"/>
      <c r="X47" s="27"/>
      <c r="Y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row>
    <row r="48" spans="1:83" x14ac:dyDescent="0.2">
      <c r="A48" s="2"/>
      <c r="B48" s="2"/>
      <c r="C48" s="2"/>
      <c r="D48" s="2"/>
      <c r="E48" s="3"/>
      <c r="F48" s="3"/>
      <c r="G48" s="3"/>
      <c r="H48" s="3"/>
      <c r="I48" s="3"/>
      <c r="J48" s="3"/>
      <c r="K48" s="3"/>
      <c r="L48" s="3"/>
      <c r="M48" s="3"/>
      <c r="N48" s="3"/>
      <c r="O48" s="3"/>
      <c r="P48" s="3"/>
      <c r="Q48" s="3"/>
      <c r="R48" s="3"/>
      <c r="S48" s="3"/>
      <c r="T48" s="2"/>
      <c r="U48" s="25"/>
      <c r="V48" s="2"/>
      <c r="W48" s="3"/>
      <c r="X48" s="27"/>
      <c r="Y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row>
    <row r="49" spans="1:83" x14ac:dyDescent="0.2">
      <c r="A49" s="2"/>
      <c r="B49" s="2"/>
      <c r="C49" s="2"/>
      <c r="D49" s="2"/>
      <c r="E49" s="3"/>
      <c r="F49" s="3"/>
      <c r="G49" s="3"/>
      <c r="H49" s="3"/>
      <c r="I49" s="3"/>
      <c r="J49" s="3"/>
      <c r="K49" s="3"/>
      <c r="L49" s="3"/>
      <c r="M49" s="3"/>
      <c r="N49" s="3"/>
      <c r="O49" s="3"/>
      <c r="P49" s="3"/>
      <c r="Q49" s="3"/>
      <c r="R49" s="3"/>
      <c r="S49" s="3"/>
      <c r="T49" s="2"/>
      <c r="U49" s="25"/>
      <c r="V49" s="2"/>
      <c r="W49" s="3"/>
      <c r="X49" s="27"/>
      <c r="Y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row>
    <row r="50" spans="1:83" x14ac:dyDescent="0.2">
      <c r="A50" s="2"/>
      <c r="B50" s="2"/>
      <c r="C50" s="2"/>
      <c r="D50" s="2"/>
      <c r="E50" s="3"/>
      <c r="F50" s="3"/>
      <c r="G50" s="3"/>
      <c r="H50" s="3"/>
      <c r="I50" s="3"/>
      <c r="J50" s="3"/>
      <c r="K50" s="3"/>
      <c r="L50" s="3"/>
      <c r="M50" s="3"/>
      <c r="N50" s="3"/>
      <c r="O50" s="3"/>
      <c r="P50" s="3"/>
      <c r="Q50" s="3"/>
      <c r="R50" s="3"/>
      <c r="S50" s="3"/>
      <c r="T50" s="2"/>
      <c r="U50" s="25"/>
      <c r="V50" s="2"/>
      <c r="W50" s="3"/>
      <c r="X50" s="27"/>
      <c r="Y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row>
    <row r="51" spans="1:83" x14ac:dyDescent="0.2">
      <c r="A51" s="2"/>
      <c r="B51" s="2"/>
      <c r="C51" s="2"/>
      <c r="D51" s="2"/>
      <c r="E51" s="3"/>
      <c r="F51" s="3"/>
      <c r="G51" s="3"/>
      <c r="H51" s="3"/>
      <c r="I51" s="3"/>
      <c r="J51" s="3"/>
      <c r="K51" s="3"/>
      <c r="L51" s="3"/>
      <c r="M51" s="3"/>
      <c r="N51" s="3"/>
      <c r="O51" s="3"/>
      <c r="P51" s="3"/>
      <c r="Q51" s="3"/>
      <c r="R51" s="3"/>
      <c r="S51" s="3"/>
      <c r="T51" s="2"/>
      <c r="U51" s="25"/>
      <c r="V51" s="2"/>
      <c r="W51" s="3"/>
      <c r="X51" s="27"/>
      <c r="Y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row>
    <row r="52" spans="1:83" x14ac:dyDescent="0.2">
      <c r="A52" s="2"/>
      <c r="B52" s="2"/>
      <c r="C52" s="2"/>
      <c r="D52" s="2"/>
      <c r="E52" s="3"/>
      <c r="F52" s="3"/>
      <c r="G52" s="3"/>
      <c r="H52" s="3"/>
      <c r="I52" s="3"/>
      <c r="J52" s="3"/>
      <c r="K52" s="3"/>
      <c r="L52" s="3"/>
      <c r="M52" s="3"/>
      <c r="N52" s="3"/>
      <c r="O52" s="3"/>
      <c r="P52" s="3"/>
      <c r="Q52" s="3"/>
      <c r="R52" s="3"/>
      <c r="S52" s="3"/>
      <c r="T52" s="2"/>
      <c r="U52" s="25"/>
      <c r="V52" s="2"/>
      <c r="W52" s="3"/>
      <c r="X52" s="27"/>
      <c r="Y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row>
    <row r="53" spans="1:83" x14ac:dyDescent="0.2">
      <c r="A53" s="2"/>
      <c r="B53" s="2"/>
      <c r="C53" s="2"/>
      <c r="D53" s="2"/>
      <c r="E53" s="3"/>
      <c r="F53" s="3"/>
      <c r="G53" s="3"/>
      <c r="H53" s="3"/>
      <c r="I53" s="3"/>
      <c r="J53" s="3"/>
      <c r="K53" s="3"/>
      <c r="L53" s="3"/>
      <c r="M53" s="3"/>
      <c r="N53" s="3"/>
      <c r="O53" s="3"/>
      <c r="P53" s="3"/>
      <c r="Q53" s="3"/>
      <c r="R53" s="3"/>
      <c r="S53" s="3"/>
      <c r="T53" s="2"/>
      <c r="U53" s="25"/>
      <c r="V53" s="2"/>
      <c r="W53" s="3"/>
      <c r="X53" s="27"/>
      <c r="Y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row>
    <row r="54" spans="1:83" x14ac:dyDescent="0.2">
      <c r="A54" s="2"/>
      <c r="B54" s="2"/>
      <c r="C54" s="2"/>
      <c r="D54" s="2"/>
      <c r="E54" s="3"/>
      <c r="F54" s="3"/>
      <c r="G54" s="3"/>
      <c r="H54" s="3"/>
      <c r="I54" s="3"/>
      <c r="J54" s="3"/>
      <c r="K54" s="3"/>
      <c r="L54" s="3"/>
      <c r="M54" s="3"/>
      <c r="N54" s="3"/>
      <c r="O54" s="3"/>
      <c r="P54" s="3"/>
      <c r="Q54" s="3"/>
      <c r="R54" s="3"/>
      <c r="S54" s="3"/>
      <c r="T54" s="2"/>
      <c r="U54" s="25"/>
      <c r="V54" s="2"/>
      <c r="W54" s="3"/>
      <c r="X54" s="27"/>
      <c r="Y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row>
    <row r="55" spans="1:83" x14ac:dyDescent="0.2">
      <c r="A55" s="2"/>
      <c r="B55" s="2"/>
      <c r="C55" s="2"/>
      <c r="D55" s="2"/>
      <c r="E55" s="3"/>
      <c r="F55" s="3"/>
      <c r="G55" s="3"/>
      <c r="H55" s="3"/>
      <c r="I55" s="3"/>
      <c r="J55" s="3"/>
      <c r="K55" s="3"/>
      <c r="L55" s="3"/>
      <c r="M55" s="3"/>
      <c r="N55" s="3"/>
      <c r="O55" s="3"/>
      <c r="P55" s="3"/>
      <c r="Q55" s="3"/>
      <c r="R55" s="3"/>
      <c r="S55" s="3"/>
      <c r="T55" s="2"/>
      <c r="U55" s="25"/>
      <c r="V55" s="2"/>
      <c r="W55" s="3"/>
      <c r="X55" s="27"/>
      <c r="Y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row>
    <row r="56" spans="1:83" x14ac:dyDescent="0.2">
      <c r="A56" s="2"/>
      <c r="B56" s="2"/>
      <c r="C56" s="2"/>
      <c r="D56" s="2"/>
      <c r="E56" s="3"/>
      <c r="F56" s="3"/>
      <c r="G56" s="3"/>
      <c r="H56" s="3"/>
      <c r="I56" s="3"/>
      <c r="J56" s="3"/>
      <c r="K56" s="3"/>
      <c r="L56" s="3"/>
      <c r="M56" s="3"/>
      <c r="N56" s="3"/>
      <c r="O56" s="3"/>
      <c r="P56" s="3"/>
      <c r="Q56" s="3"/>
      <c r="R56" s="3"/>
      <c r="S56" s="3"/>
      <c r="T56" s="2"/>
      <c r="U56" s="25"/>
      <c r="V56" s="2"/>
      <c r="W56" s="3"/>
      <c r="X56" s="27"/>
      <c r="Y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row>
    <row r="57" spans="1:83" x14ac:dyDescent="0.2">
      <c r="A57" s="2"/>
      <c r="B57" s="2"/>
      <c r="C57" s="2"/>
      <c r="D57" s="2"/>
      <c r="E57" s="3"/>
      <c r="F57" s="3"/>
      <c r="G57" s="3"/>
      <c r="H57" s="3"/>
      <c r="I57" s="3"/>
      <c r="J57" s="3"/>
      <c r="K57" s="3"/>
      <c r="L57" s="3"/>
      <c r="M57" s="3"/>
      <c r="N57" s="3"/>
      <c r="O57" s="3"/>
      <c r="P57" s="3"/>
      <c r="Q57" s="3"/>
      <c r="R57" s="3"/>
      <c r="S57" s="3"/>
      <c r="T57" s="2"/>
      <c r="U57" s="25"/>
      <c r="V57" s="2"/>
      <c r="W57" s="3"/>
      <c r="X57" s="27"/>
      <c r="Y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row>
    <row r="58" spans="1:83" x14ac:dyDescent="0.2">
      <c r="A58" s="2"/>
      <c r="B58" s="2"/>
      <c r="C58" s="2"/>
      <c r="D58" s="2"/>
      <c r="E58" s="3"/>
      <c r="F58" s="3"/>
      <c r="G58" s="3"/>
      <c r="H58" s="3"/>
      <c r="I58" s="3"/>
      <c r="J58" s="3"/>
      <c r="K58" s="3"/>
      <c r="L58" s="3"/>
      <c r="M58" s="3"/>
      <c r="N58" s="3"/>
      <c r="O58" s="3"/>
      <c r="P58" s="3"/>
      <c r="Q58" s="3"/>
      <c r="R58" s="3"/>
      <c r="S58" s="3"/>
      <c r="T58" s="2"/>
      <c r="U58" s="25"/>
      <c r="V58" s="2"/>
      <c r="W58" s="3"/>
      <c r="X58" s="27"/>
      <c r="Y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row>
    <row r="59" spans="1:83" x14ac:dyDescent="0.2">
      <c r="A59" s="2"/>
      <c r="B59" s="2"/>
      <c r="C59" s="2"/>
      <c r="D59" s="2"/>
      <c r="E59" s="3"/>
      <c r="F59" s="3"/>
      <c r="G59" s="3"/>
      <c r="H59" s="3"/>
      <c r="I59" s="3"/>
      <c r="J59" s="3"/>
      <c r="K59" s="3"/>
      <c r="L59" s="3"/>
      <c r="M59" s="3"/>
      <c r="N59" s="3"/>
      <c r="O59" s="3"/>
      <c r="P59" s="3"/>
      <c r="Q59" s="3"/>
      <c r="R59" s="3"/>
      <c r="S59" s="3"/>
      <c r="T59" s="2"/>
      <c r="U59" s="25"/>
      <c r="V59" s="2"/>
      <c r="W59" s="3"/>
      <c r="X59" s="27"/>
      <c r="Y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row>
    <row r="60" spans="1:83" x14ac:dyDescent="0.2">
      <c r="A60" s="2"/>
      <c r="B60" s="2"/>
      <c r="C60" s="2"/>
      <c r="D60" s="2"/>
      <c r="E60" s="3"/>
      <c r="F60" s="3"/>
      <c r="G60" s="3"/>
      <c r="H60" s="3"/>
      <c r="I60" s="3"/>
      <c r="J60" s="3"/>
      <c r="K60" s="3"/>
      <c r="L60" s="3"/>
      <c r="M60" s="3"/>
      <c r="N60" s="3"/>
      <c r="O60" s="3"/>
      <c r="P60" s="3"/>
      <c r="Q60" s="3"/>
      <c r="R60" s="3"/>
      <c r="S60" s="3"/>
      <c r="T60" s="2"/>
      <c r="U60" s="25"/>
      <c r="V60" s="2"/>
      <c r="W60" s="3"/>
      <c r="X60" s="27"/>
      <c r="Y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row>
    <row r="61" spans="1:83" x14ac:dyDescent="0.2">
      <c r="A61" s="2"/>
      <c r="B61" s="2"/>
      <c r="C61" s="2"/>
      <c r="D61" s="2"/>
      <c r="E61" s="3"/>
      <c r="F61" s="3"/>
      <c r="G61" s="3"/>
      <c r="H61" s="3"/>
      <c r="I61" s="3"/>
      <c r="J61" s="3"/>
      <c r="K61" s="3"/>
      <c r="L61" s="3"/>
      <c r="M61" s="3"/>
      <c r="N61" s="3"/>
      <c r="O61" s="3"/>
      <c r="P61" s="3"/>
      <c r="Q61" s="3"/>
      <c r="R61" s="3"/>
      <c r="S61" s="3"/>
      <c r="T61" s="2"/>
      <c r="U61" s="25"/>
      <c r="V61" s="2"/>
      <c r="W61" s="3"/>
      <c r="X61" s="27"/>
      <c r="Y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row>
    <row r="62" spans="1:83" x14ac:dyDescent="0.2">
      <c r="A62" s="2"/>
      <c r="B62" s="2"/>
      <c r="C62" s="2"/>
      <c r="D62" s="2"/>
      <c r="E62" s="3"/>
      <c r="F62" s="3"/>
      <c r="G62" s="3"/>
      <c r="H62" s="3"/>
      <c r="I62" s="3"/>
      <c r="J62" s="3"/>
      <c r="K62" s="3"/>
      <c r="L62" s="3"/>
      <c r="M62" s="3"/>
      <c r="N62" s="3"/>
      <c r="O62" s="3"/>
      <c r="P62" s="3"/>
      <c r="Q62" s="3"/>
      <c r="R62" s="3"/>
      <c r="S62" s="3"/>
      <c r="T62" s="2"/>
      <c r="U62" s="25"/>
      <c r="V62" s="2"/>
      <c r="W62" s="3"/>
      <c r="X62" s="27"/>
      <c r="Y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row>
    <row r="63" spans="1:83" x14ac:dyDescent="0.2">
      <c r="A63" s="2"/>
      <c r="B63" s="2"/>
      <c r="C63" s="2"/>
      <c r="D63" s="2"/>
      <c r="E63" s="3"/>
      <c r="F63" s="3"/>
      <c r="G63" s="3"/>
      <c r="H63" s="3"/>
      <c r="I63" s="3"/>
      <c r="J63" s="3"/>
      <c r="K63" s="3"/>
      <c r="L63" s="3"/>
      <c r="M63" s="3"/>
      <c r="N63" s="3"/>
      <c r="O63" s="3"/>
      <c r="P63" s="3"/>
      <c r="Q63" s="3"/>
      <c r="R63" s="3"/>
      <c r="S63" s="3"/>
      <c r="T63" s="2"/>
      <c r="U63" s="25"/>
      <c r="V63" s="2"/>
      <c r="W63" s="3"/>
      <c r="X63" s="27"/>
      <c r="Y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row>
    <row r="64" spans="1:83" x14ac:dyDescent="0.2">
      <c r="A64" s="2"/>
      <c r="B64" s="2"/>
      <c r="C64" s="2"/>
      <c r="D64" s="2"/>
      <c r="E64" s="3"/>
      <c r="F64" s="3"/>
      <c r="G64" s="3"/>
      <c r="H64" s="3"/>
      <c r="I64" s="3"/>
      <c r="J64" s="3"/>
      <c r="K64" s="3"/>
      <c r="L64" s="3"/>
      <c r="M64" s="3"/>
      <c r="N64" s="3"/>
      <c r="O64" s="3"/>
      <c r="P64" s="3"/>
      <c r="Q64" s="3"/>
      <c r="R64" s="3"/>
      <c r="S64" s="3"/>
      <c r="T64" s="2"/>
      <c r="U64" s="25"/>
      <c r="V64" s="2"/>
      <c r="W64" s="3"/>
      <c r="X64" s="27"/>
      <c r="Y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row>
    <row r="65" spans="1:83" x14ac:dyDescent="0.2">
      <c r="A65" s="2"/>
      <c r="B65" s="2"/>
      <c r="C65" s="2"/>
      <c r="D65" s="2"/>
      <c r="E65" s="3"/>
      <c r="F65" s="3"/>
      <c r="G65" s="3"/>
      <c r="H65" s="3"/>
      <c r="I65" s="3"/>
      <c r="J65" s="3"/>
      <c r="K65" s="3"/>
      <c r="L65" s="3"/>
      <c r="M65" s="3"/>
      <c r="N65" s="3"/>
      <c r="O65" s="3"/>
      <c r="P65" s="3"/>
      <c r="Q65" s="3"/>
      <c r="R65" s="3"/>
      <c r="S65" s="3"/>
      <c r="T65" s="2"/>
      <c r="U65" s="25"/>
      <c r="V65" s="2"/>
      <c r="W65" s="3"/>
      <c r="X65" s="27"/>
      <c r="Y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row>
    <row r="66" spans="1:83" x14ac:dyDescent="0.2">
      <c r="A66" s="2"/>
      <c r="B66" s="2"/>
      <c r="C66" s="2"/>
      <c r="D66" s="2"/>
      <c r="E66" s="3"/>
      <c r="F66" s="3"/>
      <c r="G66" s="3"/>
      <c r="H66" s="3"/>
      <c r="I66" s="3"/>
      <c r="J66" s="3"/>
      <c r="K66" s="3"/>
      <c r="L66" s="3"/>
      <c r="M66" s="3"/>
      <c r="N66" s="3"/>
      <c r="O66" s="3"/>
      <c r="P66" s="3"/>
      <c r="Q66" s="3"/>
      <c r="R66" s="3"/>
      <c r="S66" s="3"/>
      <c r="T66" s="2"/>
      <c r="U66" s="25"/>
      <c r="V66" s="2"/>
      <c r="W66" s="3"/>
      <c r="X66" s="27"/>
      <c r="Y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row>
    <row r="67" spans="1:83" x14ac:dyDescent="0.2">
      <c r="A67" s="2"/>
      <c r="B67" s="2"/>
      <c r="C67" s="2"/>
      <c r="D67" s="2"/>
      <c r="E67" s="3"/>
      <c r="F67" s="3"/>
      <c r="G67" s="3"/>
      <c r="H67" s="3"/>
      <c r="I67" s="3"/>
      <c r="J67" s="3"/>
      <c r="K67" s="3"/>
      <c r="L67" s="3"/>
      <c r="M67" s="3"/>
      <c r="N67" s="3"/>
      <c r="O67" s="3"/>
      <c r="P67" s="3"/>
      <c r="Q67" s="3"/>
      <c r="R67" s="3"/>
      <c r="S67" s="3"/>
      <c r="T67" s="2"/>
      <c r="U67" s="25"/>
      <c r="V67" s="2"/>
      <c r="W67" s="3"/>
      <c r="X67" s="27"/>
      <c r="Y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row>
    <row r="68" spans="1:83" x14ac:dyDescent="0.2">
      <c r="A68" s="2"/>
      <c r="B68" s="2"/>
      <c r="C68" s="2"/>
      <c r="D68" s="2"/>
      <c r="E68" s="3"/>
      <c r="F68" s="3"/>
      <c r="G68" s="3"/>
      <c r="H68" s="3"/>
      <c r="I68" s="3"/>
      <c r="J68" s="3"/>
      <c r="K68" s="3"/>
      <c r="L68" s="3"/>
      <c r="M68" s="3"/>
      <c r="N68" s="3"/>
      <c r="O68" s="3"/>
      <c r="P68" s="3"/>
      <c r="Q68" s="3"/>
      <c r="R68" s="3"/>
      <c r="S68" s="3"/>
      <c r="T68" s="2"/>
      <c r="U68" s="25"/>
      <c r="V68" s="2"/>
      <c r="W68" s="3"/>
      <c r="X68" s="27"/>
      <c r="Y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row>
    <row r="69" spans="1:83" x14ac:dyDescent="0.2">
      <c r="A69" s="2"/>
      <c r="B69" s="2"/>
      <c r="C69" s="2"/>
      <c r="D69" s="2"/>
      <c r="E69" s="3"/>
      <c r="F69" s="3"/>
      <c r="G69" s="3"/>
      <c r="H69" s="3"/>
      <c r="I69" s="3"/>
      <c r="J69" s="3"/>
      <c r="K69" s="3"/>
      <c r="L69" s="3"/>
      <c r="M69" s="3"/>
      <c r="N69" s="3"/>
      <c r="O69" s="3"/>
      <c r="P69" s="3"/>
      <c r="Q69" s="3"/>
      <c r="R69" s="3"/>
      <c r="S69" s="3"/>
      <c r="T69" s="2"/>
      <c r="U69" s="25"/>
      <c r="V69" s="2"/>
      <c r="W69" s="3"/>
      <c r="X69" s="27"/>
      <c r="Y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row>
    <row r="70" spans="1:83" x14ac:dyDescent="0.2">
      <c r="A70" s="2"/>
      <c r="B70" s="2"/>
      <c r="C70" s="2"/>
      <c r="D70" s="2"/>
      <c r="E70" s="3"/>
      <c r="F70" s="3"/>
      <c r="G70" s="3"/>
      <c r="H70" s="3"/>
      <c r="I70" s="3"/>
      <c r="J70" s="3"/>
      <c r="K70" s="3"/>
      <c r="L70" s="3"/>
      <c r="M70" s="3"/>
      <c r="N70" s="3"/>
      <c r="O70" s="3"/>
      <c r="P70" s="3"/>
      <c r="Q70" s="3"/>
      <c r="R70" s="3"/>
      <c r="S70" s="3"/>
      <c r="T70" s="2"/>
      <c r="U70" s="25"/>
      <c r="V70" s="2"/>
      <c r="W70" s="3"/>
      <c r="X70" s="27"/>
      <c r="Y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row>
    <row r="71" spans="1:83" x14ac:dyDescent="0.2">
      <c r="A71" s="2"/>
      <c r="B71" s="2"/>
      <c r="C71" s="2"/>
      <c r="D71" s="2"/>
      <c r="E71" s="3"/>
      <c r="F71" s="3"/>
      <c r="G71" s="3"/>
      <c r="H71" s="3"/>
      <c r="I71" s="3"/>
      <c r="J71" s="3"/>
      <c r="K71" s="3"/>
      <c r="L71" s="3"/>
      <c r="M71" s="3"/>
      <c r="N71" s="3"/>
      <c r="O71" s="3"/>
      <c r="P71" s="3"/>
      <c r="Q71" s="3"/>
      <c r="R71" s="3"/>
      <c r="S71" s="3"/>
      <c r="T71" s="2"/>
      <c r="U71" s="25"/>
      <c r="V71" s="2"/>
      <c r="W71" s="3"/>
      <c r="X71" s="27"/>
      <c r="Y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row>
    <row r="72" spans="1:83" x14ac:dyDescent="0.2">
      <c r="A72" s="2"/>
      <c r="B72" s="2"/>
      <c r="C72" s="2"/>
      <c r="D72" s="2"/>
      <c r="E72" s="3"/>
      <c r="F72" s="3"/>
      <c r="G72" s="3"/>
      <c r="H72" s="3"/>
      <c r="I72" s="3"/>
      <c r="J72" s="3"/>
      <c r="K72" s="3"/>
      <c r="L72" s="3"/>
      <c r="M72" s="3"/>
      <c r="N72" s="3"/>
      <c r="O72" s="3"/>
      <c r="P72" s="3"/>
      <c r="Q72" s="3"/>
      <c r="R72" s="3"/>
      <c r="S72" s="3"/>
      <c r="T72" s="2"/>
      <c r="U72" s="25"/>
      <c r="V72" s="2"/>
      <c r="W72" s="3"/>
      <c r="X72" s="27"/>
      <c r="Y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row>
    <row r="73" spans="1:83" x14ac:dyDescent="0.2">
      <c r="T73" s="2"/>
      <c r="U73" s="25"/>
      <c r="V73" s="2"/>
      <c r="Y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row>
  </sheetData>
  <sortState ref="A5:Y24">
    <sortCondition ref="V5:V24"/>
  </sortState>
  <mergeCells count="11">
    <mergeCell ref="F27:G27"/>
    <mergeCell ref="H27:I27"/>
    <mergeCell ref="N26:S26"/>
    <mergeCell ref="N33:S33"/>
    <mergeCell ref="F26:I26"/>
    <mergeCell ref="T1:V1"/>
    <mergeCell ref="W1:Y1"/>
    <mergeCell ref="I1:L1"/>
    <mergeCell ref="M1:O1"/>
    <mergeCell ref="E1:H1"/>
    <mergeCell ref="P1:S1"/>
  </mergeCells>
  <conditionalFormatting sqref="V5:V24">
    <cfRule type="colorScale" priority="9">
      <colorScale>
        <cfvo type="min"/>
        <cfvo type="max"/>
        <color rgb="FF63BE7B"/>
        <color rgb="FFFCFCFF"/>
      </colorScale>
    </cfRule>
  </conditionalFormatting>
  <conditionalFormatting sqref="Y5:Y24">
    <cfRule type="colorScale" priority="8">
      <colorScale>
        <cfvo type="min"/>
        <cfvo type="max"/>
        <color rgb="FF63BE7B"/>
        <color rgb="FFFCFCFF"/>
      </colorScale>
    </cfRule>
  </conditionalFormatting>
  <conditionalFormatting sqref="U5:U24">
    <cfRule type="colorScale" priority="7">
      <colorScale>
        <cfvo type="min"/>
        <cfvo type="percentile" val="50"/>
        <cfvo type="max"/>
        <color rgb="FFF8696B"/>
        <color rgb="FFFFEB84"/>
        <color rgb="FF63BE7B"/>
      </colorScale>
    </cfRule>
  </conditionalFormatting>
  <conditionalFormatting sqref="T5:T24">
    <cfRule type="colorScale" priority="6">
      <colorScale>
        <cfvo type="min"/>
        <cfvo type="percentile" val="50"/>
        <cfvo type="max"/>
        <color rgb="FFF8696B"/>
        <color rgb="FFFFEB84"/>
        <color rgb="FF63BE7B"/>
      </colorScale>
    </cfRule>
  </conditionalFormatting>
  <conditionalFormatting sqref="W5:W24">
    <cfRule type="colorScale" priority="5">
      <colorScale>
        <cfvo type="min"/>
        <cfvo type="percentile" val="50"/>
        <cfvo type="max"/>
        <color rgb="FFF8696B"/>
        <color rgb="FFFFEB84"/>
        <color rgb="FF63BE7B"/>
      </colorScale>
    </cfRule>
  </conditionalFormatting>
  <conditionalFormatting sqref="X5:X24">
    <cfRule type="colorScale" priority="4">
      <colorScale>
        <cfvo type="min"/>
        <cfvo type="percentile" val="50"/>
        <cfvo type="max"/>
        <color rgb="FFF8696B"/>
        <color rgb="FFFFEB84"/>
        <color rgb="FF63BE7B"/>
      </colorScale>
    </cfRule>
  </conditionalFormatting>
  <conditionalFormatting sqref="E5:S24">
    <cfRule type="colorScale" priority="1">
      <colorScale>
        <cfvo type="min"/>
        <cfvo type="percentile" val="50"/>
        <cfvo type="max"/>
        <color rgb="FFF8696B"/>
        <color rgb="FFFFEB84"/>
        <color rgb="FF63BE7B"/>
      </colorScale>
    </cfRule>
  </conditionalFormatting>
  <dataValidations count="1">
    <dataValidation type="whole" allowBlank="1" showInputMessage="1" showErrorMessage="1" sqref="W25:X25 E5:S24">
      <formula1>0</formula1>
      <formula2>10</formula2>
    </dataValidation>
  </dataValidations>
  <pageMargins left="0.25" right="0.25" top="0.75" bottom="0.75" header="0.3" footer="0.3"/>
  <pageSetup scale="56"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btnSortUWAscending">
                <anchor moveWithCells="1" sizeWithCells="1">
                  <from>
                    <xdr:col>21</xdr:col>
                    <xdr:colOff>25400</xdr:colOff>
                    <xdr:row>3</xdr:row>
                    <xdr:rowOff>0</xdr:rowOff>
                  </from>
                  <to>
                    <xdr:col>21</xdr:col>
                    <xdr:colOff>203200</xdr:colOff>
                    <xdr:row>3</xdr:row>
                    <xdr:rowOff>177800</xdr:rowOff>
                  </to>
                </anchor>
              </controlPr>
            </control>
          </mc:Choice>
          <mc:Fallback/>
        </mc:AlternateContent>
        <mc:AlternateContent xmlns:mc="http://schemas.openxmlformats.org/markup-compatibility/2006">
          <mc:Choice Requires="x14">
            <control shapeId="1044" r:id="rId5" name="Button 20">
              <controlPr defaultSize="0" print="0" autoFill="0" autoPict="0" macro="[0]!btnSortUWDescending">
                <anchor moveWithCells="1" sizeWithCells="1">
                  <from>
                    <xdr:col>21</xdr:col>
                    <xdr:colOff>228600</xdr:colOff>
                    <xdr:row>3</xdr:row>
                    <xdr:rowOff>0</xdr:rowOff>
                  </from>
                  <to>
                    <xdr:col>21</xdr:col>
                    <xdr:colOff>406400</xdr:colOff>
                    <xdr:row>3</xdr:row>
                    <xdr:rowOff>177800</xdr:rowOff>
                  </to>
                </anchor>
              </controlPr>
            </control>
          </mc:Choice>
          <mc:Fallback/>
        </mc:AlternateContent>
        <mc:AlternateContent xmlns:mc="http://schemas.openxmlformats.org/markup-compatibility/2006">
          <mc:Choice Requires="x14">
            <control shapeId="1045" r:id="rId6" name="Button 21">
              <controlPr defaultSize="0" print="0" autoFill="0" autoPict="0" macro="[0]!btnSortWAscending">
                <anchor moveWithCells="1" sizeWithCells="1">
                  <from>
                    <xdr:col>24</xdr:col>
                    <xdr:colOff>25400</xdr:colOff>
                    <xdr:row>3</xdr:row>
                    <xdr:rowOff>0</xdr:rowOff>
                  </from>
                  <to>
                    <xdr:col>24</xdr:col>
                    <xdr:colOff>203200</xdr:colOff>
                    <xdr:row>3</xdr:row>
                    <xdr:rowOff>177800</xdr:rowOff>
                  </to>
                </anchor>
              </controlPr>
            </control>
          </mc:Choice>
          <mc:Fallback/>
        </mc:AlternateContent>
        <mc:AlternateContent xmlns:mc="http://schemas.openxmlformats.org/markup-compatibility/2006">
          <mc:Choice Requires="x14">
            <control shapeId="1046" r:id="rId7" name="Button 22">
              <controlPr defaultSize="0" print="0" autoFill="0" autoPict="0" macro="[0]!btnSortWDescending">
                <anchor moveWithCells="1" sizeWithCells="1">
                  <from>
                    <xdr:col>24</xdr:col>
                    <xdr:colOff>228600</xdr:colOff>
                    <xdr:row>3</xdr:row>
                    <xdr:rowOff>0</xdr:rowOff>
                  </from>
                  <to>
                    <xdr:col>24</xdr:col>
                    <xdr:colOff>406400</xdr:colOff>
                    <xdr:row>3</xdr:row>
                    <xdr:rowOff>177800</xdr:rowOff>
                  </to>
                </anchor>
              </controlPr>
            </control>
          </mc:Choice>
          <mc:Fallback/>
        </mc:AlternateContent>
        <mc:AlternateContent xmlns:mc="http://schemas.openxmlformats.org/markup-compatibility/2006">
          <mc:Choice Requires="x14">
            <control shapeId="1047" r:id="rId8" name="Button 23">
              <controlPr defaultSize="0" print="0" autoFill="0" autoPict="0" macro="[0]!btnHideShow">
                <anchor moveWithCells="1" sizeWithCells="1">
                  <from>
                    <xdr:col>3</xdr:col>
                    <xdr:colOff>50800</xdr:colOff>
                    <xdr:row>0</xdr:row>
                    <xdr:rowOff>330200</xdr:rowOff>
                  </from>
                  <to>
                    <xdr:col>3</xdr:col>
                    <xdr:colOff>901700</xdr:colOff>
                    <xdr:row>1</xdr:row>
                    <xdr:rowOff>596900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E38"/>
  <sheetViews>
    <sheetView tabSelected="1" zoomScale="183" zoomScaleNormal="183" zoomScalePageLayoutView="183" workbookViewId="0">
      <selection activeCell="A10" sqref="A10:XFD10"/>
    </sheetView>
  </sheetViews>
  <sheetFormatPr baseColWidth="10" defaultColWidth="8.83203125" defaultRowHeight="15" x14ac:dyDescent="0.2"/>
  <cols>
    <col min="1" max="1" width="12.6640625" style="79" bestFit="1" customWidth="1"/>
    <col min="2" max="2" width="65.5" style="79" customWidth="1"/>
    <col min="3" max="3" width="5.1640625" style="79" bestFit="1" customWidth="1"/>
    <col min="4" max="4" width="35.83203125" style="79" customWidth="1"/>
    <col min="5" max="5" width="42.6640625" style="79" customWidth="1"/>
    <col min="6" max="6" width="28" style="79" customWidth="1"/>
    <col min="7" max="16384" width="8.83203125" style="79"/>
  </cols>
  <sheetData>
    <row r="1" spans="1:5" x14ac:dyDescent="0.2">
      <c r="A1" s="79" t="s">
        <v>47</v>
      </c>
      <c r="B1" s="79" t="s">
        <v>70</v>
      </c>
      <c r="C1" s="79" t="s">
        <v>5</v>
      </c>
      <c r="D1" s="79" t="s">
        <v>80</v>
      </c>
      <c r="E1" s="79" t="s">
        <v>79</v>
      </c>
    </row>
    <row r="2" spans="1:5" x14ac:dyDescent="0.2">
      <c r="A2" s="79" t="s">
        <v>94</v>
      </c>
      <c r="B2" s="79" t="s">
        <v>95</v>
      </c>
      <c r="C2" s="79">
        <v>10</v>
      </c>
      <c r="D2" s="79" t="s">
        <v>96</v>
      </c>
      <c r="E2" s="79" t="s">
        <v>134</v>
      </c>
    </row>
    <row r="3" spans="1:5" ht="30" x14ac:dyDescent="0.2">
      <c r="A3" s="79" t="s">
        <v>68</v>
      </c>
      <c r="B3" s="79" t="s">
        <v>126</v>
      </c>
      <c r="C3" s="79">
        <v>8</v>
      </c>
      <c r="D3" s="79" t="s">
        <v>97</v>
      </c>
      <c r="E3" s="79" t="s">
        <v>135</v>
      </c>
    </row>
    <row r="4" spans="1:5" ht="60" x14ac:dyDescent="0.2">
      <c r="A4" s="79" t="s">
        <v>68</v>
      </c>
      <c r="B4" s="79" t="s">
        <v>127</v>
      </c>
      <c r="C4" s="79">
        <v>9</v>
      </c>
      <c r="D4" s="79" t="s">
        <v>98</v>
      </c>
      <c r="E4" s="79" t="s">
        <v>136</v>
      </c>
    </row>
    <row r="5" spans="1:5" ht="45" x14ac:dyDescent="0.2">
      <c r="A5" s="79" t="s">
        <v>82</v>
      </c>
      <c r="B5" s="79" t="s">
        <v>99</v>
      </c>
      <c r="C5" s="79">
        <v>9</v>
      </c>
      <c r="D5" s="79" t="s">
        <v>137</v>
      </c>
    </row>
    <row r="6" spans="1:5" ht="45" x14ac:dyDescent="0.2">
      <c r="A6" s="79" t="s">
        <v>68</v>
      </c>
      <c r="B6" s="79" t="s">
        <v>63</v>
      </c>
      <c r="C6" s="79">
        <v>10</v>
      </c>
      <c r="D6" s="79" t="s">
        <v>116</v>
      </c>
      <c r="E6" s="79" t="s">
        <v>62</v>
      </c>
    </row>
    <row r="7" spans="1:5" ht="45" x14ac:dyDescent="0.2">
      <c r="A7" s="79" t="s">
        <v>68</v>
      </c>
      <c r="B7" s="79" t="s">
        <v>73</v>
      </c>
      <c r="C7" s="79">
        <v>8</v>
      </c>
      <c r="D7" s="79" t="s">
        <v>138</v>
      </c>
      <c r="E7" s="79" t="s">
        <v>71</v>
      </c>
    </row>
    <row r="8" spans="1:5" x14ac:dyDescent="0.2">
      <c r="A8" s="79" t="s">
        <v>68</v>
      </c>
      <c r="B8" s="79" t="s">
        <v>74</v>
      </c>
      <c r="C8" s="79">
        <v>8</v>
      </c>
      <c r="D8" s="79" t="s">
        <v>139</v>
      </c>
    </row>
    <row r="9" spans="1:5" ht="30" x14ac:dyDescent="0.2">
      <c r="A9" s="79" t="s">
        <v>68</v>
      </c>
      <c r="B9" s="79" t="s">
        <v>75</v>
      </c>
      <c r="C9" s="79">
        <v>6</v>
      </c>
      <c r="D9" s="79" t="s">
        <v>141</v>
      </c>
      <c r="E9" s="79" t="s">
        <v>76</v>
      </c>
    </row>
    <row r="10" spans="1:5" ht="30" x14ac:dyDescent="0.2">
      <c r="A10" s="79" t="s">
        <v>65</v>
      </c>
      <c r="B10" s="79" t="s">
        <v>48</v>
      </c>
      <c r="C10" s="79">
        <v>5</v>
      </c>
      <c r="D10" s="79" t="s">
        <v>140</v>
      </c>
      <c r="E10" s="79" t="s">
        <v>59</v>
      </c>
    </row>
    <row r="11" spans="1:5" ht="60" x14ac:dyDescent="0.2">
      <c r="A11" s="79" t="s">
        <v>65</v>
      </c>
      <c r="B11" s="79" t="s">
        <v>49</v>
      </c>
      <c r="C11" s="79">
        <v>4</v>
      </c>
      <c r="D11" s="79" t="s">
        <v>104</v>
      </c>
      <c r="E11" s="79" t="s">
        <v>59</v>
      </c>
    </row>
    <row r="12" spans="1:5" ht="30" x14ac:dyDescent="0.2">
      <c r="A12" s="79" t="s">
        <v>65</v>
      </c>
      <c r="B12" s="79" t="s">
        <v>50</v>
      </c>
      <c r="C12" s="79">
        <v>4</v>
      </c>
      <c r="D12" s="79" t="s">
        <v>110</v>
      </c>
      <c r="E12" s="79" t="s">
        <v>59</v>
      </c>
    </row>
    <row r="13" spans="1:5" ht="30" x14ac:dyDescent="0.2">
      <c r="A13" s="79" t="s">
        <v>65</v>
      </c>
      <c r="B13" s="79" t="s">
        <v>51</v>
      </c>
      <c r="C13" s="79">
        <v>4</v>
      </c>
      <c r="D13" s="79" t="s">
        <v>109</v>
      </c>
      <c r="E13" s="79" t="s">
        <v>59</v>
      </c>
    </row>
    <row r="14" spans="1:5" ht="105" x14ac:dyDescent="0.2">
      <c r="A14" s="79" t="s">
        <v>65</v>
      </c>
      <c r="B14" s="79" t="s">
        <v>93</v>
      </c>
      <c r="C14" s="79">
        <v>10</v>
      </c>
      <c r="D14" s="79" t="s">
        <v>106</v>
      </c>
      <c r="E14" s="79" t="s">
        <v>59</v>
      </c>
    </row>
    <row r="15" spans="1:5" ht="30" x14ac:dyDescent="0.2">
      <c r="A15" s="79" t="s">
        <v>65</v>
      </c>
      <c r="B15" s="79" t="s">
        <v>81</v>
      </c>
      <c r="C15" s="79">
        <v>10</v>
      </c>
      <c r="D15" s="79" t="s">
        <v>105</v>
      </c>
      <c r="E15" s="79" t="s">
        <v>59</v>
      </c>
    </row>
    <row r="16" spans="1:5" x14ac:dyDescent="0.2">
      <c r="A16" s="79" t="s">
        <v>64</v>
      </c>
      <c r="B16" s="79" t="s">
        <v>53</v>
      </c>
      <c r="C16" s="79">
        <v>10</v>
      </c>
      <c r="D16" s="79" t="s">
        <v>105</v>
      </c>
      <c r="E16" s="79" t="s">
        <v>58</v>
      </c>
    </row>
    <row r="17" spans="1:5" ht="90" x14ac:dyDescent="0.2">
      <c r="A17" s="79" t="s">
        <v>64</v>
      </c>
      <c r="B17" s="79" t="s">
        <v>107</v>
      </c>
      <c r="C17" s="79">
        <v>9</v>
      </c>
      <c r="D17" s="79" t="s">
        <v>108</v>
      </c>
    </row>
    <row r="18" spans="1:5" ht="30" x14ac:dyDescent="0.2">
      <c r="A18" s="79" t="s">
        <v>64</v>
      </c>
      <c r="B18" s="79" t="s">
        <v>111</v>
      </c>
      <c r="C18" s="79">
        <v>10</v>
      </c>
      <c r="D18" s="79" t="s">
        <v>112</v>
      </c>
    </row>
    <row r="19" spans="1:5" ht="60" x14ac:dyDescent="0.2">
      <c r="A19" s="79" t="s">
        <v>64</v>
      </c>
      <c r="B19" s="79" t="s">
        <v>54</v>
      </c>
      <c r="C19" s="79">
        <v>10</v>
      </c>
      <c r="D19" s="79" t="s">
        <v>113</v>
      </c>
      <c r="E19" s="79" t="s">
        <v>57</v>
      </c>
    </row>
    <row r="20" spans="1:5" ht="45" x14ac:dyDescent="0.2">
      <c r="A20" s="79" t="s">
        <v>64</v>
      </c>
      <c r="B20" s="79" t="s">
        <v>60</v>
      </c>
      <c r="C20" s="79">
        <v>10</v>
      </c>
      <c r="D20" s="79" t="s">
        <v>115</v>
      </c>
      <c r="E20" s="79" t="s">
        <v>61</v>
      </c>
    </row>
    <row r="21" spans="1:5" ht="45" x14ac:dyDescent="0.2">
      <c r="A21" s="79" t="s">
        <v>64</v>
      </c>
      <c r="B21" s="79" t="s">
        <v>66</v>
      </c>
      <c r="C21" s="79">
        <v>10</v>
      </c>
      <c r="D21" s="79" t="s">
        <v>123</v>
      </c>
      <c r="E21" s="79" t="s">
        <v>67</v>
      </c>
    </row>
    <row r="22" spans="1:5" ht="75" x14ac:dyDescent="0.2">
      <c r="A22" s="79" t="s">
        <v>64</v>
      </c>
      <c r="B22" s="79" t="s">
        <v>78</v>
      </c>
      <c r="C22" s="79">
        <v>10</v>
      </c>
      <c r="D22" s="79" t="s">
        <v>125</v>
      </c>
      <c r="E22" s="79" t="s">
        <v>114</v>
      </c>
    </row>
    <row r="23" spans="1:5" ht="30" x14ac:dyDescent="0.2">
      <c r="A23" s="79" t="s">
        <v>82</v>
      </c>
      <c r="B23" s="79" t="s">
        <v>84</v>
      </c>
      <c r="C23" s="79">
        <v>5</v>
      </c>
      <c r="D23" s="79" t="s">
        <v>124</v>
      </c>
      <c r="E23" s="79" t="s">
        <v>83</v>
      </c>
    </row>
    <row r="24" spans="1:5" ht="105" x14ac:dyDescent="0.2">
      <c r="A24" s="79" t="s">
        <v>82</v>
      </c>
      <c r="B24" s="79" t="s">
        <v>85</v>
      </c>
      <c r="C24" s="79">
        <v>10</v>
      </c>
      <c r="D24" s="79" t="s">
        <v>133</v>
      </c>
      <c r="E24" s="79" t="s">
        <v>86</v>
      </c>
    </row>
    <row r="25" spans="1:5" ht="30" x14ac:dyDescent="0.2">
      <c r="A25" s="79" t="s">
        <v>82</v>
      </c>
      <c r="B25" s="79" t="s">
        <v>91</v>
      </c>
      <c r="C25" s="79">
        <v>5</v>
      </c>
      <c r="D25" s="79" t="s">
        <v>123</v>
      </c>
    </row>
    <row r="26" spans="1:5" ht="30" x14ac:dyDescent="0.2">
      <c r="A26" s="79" t="s">
        <v>87</v>
      </c>
      <c r="B26" s="79" t="s">
        <v>89</v>
      </c>
      <c r="C26" s="79">
        <v>10</v>
      </c>
      <c r="D26" s="79" t="s">
        <v>123</v>
      </c>
      <c r="E26" s="79" t="s">
        <v>90</v>
      </c>
    </row>
    <row r="27" spans="1:5" ht="30" x14ac:dyDescent="0.2">
      <c r="A27" s="79" t="s">
        <v>87</v>
      </c>
      <c r="B27" s="79" t="s">
        <v>88</v>
      </c>
      <c r="C27" s="79">
        <v>10</v>
      </c>
      <c r="D27" s="79" t="s">
        <v>122</v>
      </c>
    </row>
    <row r="28" spans="1:5" ht="75" x14ac:dyDescent="0.2">
      <c r="A28" s="79" t="s">
        <v>87</v>
      </c>
      <c r="B28" s="79" t="s">
        <v>92</v>
      </c>
      <c r="C28" s="79">
        <v>10</v>
      </c>
      <c r="D28" s="79" t="s">
        <v>101</v>
      </c>
    </row>
    <row r="29" spans="1:5" ht="45" x14ac:dyDescent="0.2">
      <c r="A29" s="79" t="s">
        <v>65</v>
      </c>
      <c r="B29" s="79" t="s">
        <v>102</v>
      </c>
      <c r="C29" s="79">
        <v>10</v>
      </c>
      <c r="D29" s="79" t="s">
        <v>103</v>
      </c>
    </row>
    <row r="30" spans="1:5" x14ac:dyDescent="0.2">
      <c r="A30" s="79" t="s">
        <v>65</v>
      </c>
      <c r="B30" s="79" t="s">
        <v>100</v>
      </c>
      <c r="C30" s="79">
        <v>10</v>
      </c>
      <c r="D30" s="79" t="s">
        <v>121</v>
      </c>
    </row>
    <row r="31" spans="1:5" ht="30" x14ac:dyDescent="0.2">
      <c r="A31" s="79" t="s">
        <v>65</v>
      </c>
      <c r="B31" s="79" t="s">
        <v>119</v>
      </c>
      <c r="C31" s="79">
        <v>10</v>
      </c>
      <c r="D31" s="79" t="s">
        <v>120</v>
      </c>
    </row>
    <row r="32" spans="1:5" x14ac:dyDescent="0.2">
      <c r="C32" s="80">
        <f>AVERAGE(C2:C31)</f>
        <v>8.4666666666666668</v>
      </c>
    </row>
    <row r="35" spans="1:4" ht="30" x14ac:dyDescent="0.2">
      <c r="A35" s="79" t="s">
        <v>117</v>
      </c>
      <c r="B35" s="79" t="s">
        <v>70</v>
      </c>
    </row>
    <row r="36" spans="1:4" ht="30" x14ac:dyDescent="0.2">
      <c r="A36" s="79">
        <v>1</v>
      </c>
      <c r="B36" s="79" t="s">
        <v>118</v>
      </c>
      <c r="C36" s="79">
        <v>10</v>
      </c>
      <c r="D36" s="79" t="s">
        <v>128</v>
      </c>
    </row>
    <row r="37" spans="1:4" ht="75" x14ac:dyDescent="0.2">
      <c r="A37" s="79">
        <v>2</v>
      </c>
      <c r="B37" s="79" t="s">
        <v>129</v>
      </c>
      <c r="C37" s="79">
        <v>10</v>
      </c>
      <c r="D37" s="79" t="s">
        <v>130</v>
      </c>
    </row>
    <row r="38" spans="1:4" ht="45" x14ac:dyDescent="0.2">
      <c r="A38" s="79">
        <v>3</v>
      </c>
      <c r="B38" s="79" t="s">
        <v>131</v>
      </c>
      <c r="C38" s="79">
        <v>10</v>
      </c>
      <c r="D38" s="79" t="s">
        <v>132</v>
      </c>
    </row>
  </sheetData>
  <sortState ref="A2:F33">
    <sortCondition ref="A2:A33"/>
  </sortState>
  <dataValidations count="1">
    <dataValidation type="list" allowBlank="1" showInputMessage="1" showErrorMessage="1" sqref="C36:C40 C6:C31">
      <formula1>"1,2,3,4,5,6,7,8,9,10"</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E33"/>
  <sheetViews>
    <sheetView zoomScale="214" zoomScaleNormal="214" zoomScalePageLayoutView="214" workbookViewId="0">
      <selection activeCell="E15" sqref="A1:XFD1048576"/>
    </sheetView>
  </sheetViews>
  <sheetFormatPr baseColWidth="10" defaultColWidth="8.83203125" defaultRowHeight="15" x14ac:dyDescent="0.2"/>
  <cols>
    <col min="1" max="1" width="3.83203125" style="78" bestFit="1" customWidth="1"/>
    <col min="2" max="2" width="12.6640625" style="78" bestFit="1" customWidth="1"/>
    <col min="3" max="3" width="65.6640625" style="78" bestFit="1" customWidth="1"/>
    <col min="4" max="4" width="8.83203125" style="78"/>
    <col min="5" max="5" width="69.83203125" style="78" customWidth="1"/>
    <col min="6" max="16384" width="8.83203125" style="78"/>
  </cols>
  <sheetData>
    <row r="1" spans="1:5" x14ac:dyDescent="0.2">
      <c r="A1" s="78" t="s">
        <v>69</v>
      </c>
      <c r="B1" s="78" t="s">
        <v>47</v>
      </c>
      <c r="C1" s="78" t="s">
        <v>70</v>
      </c>
      <c r="D1" s="78" t="s">
        <v>5</v>
      </c>
      <c r="E1" s="78" t="s">
        <v>56</v>
      </c>
    </row>
    <row r="2" spans="1:5" s="79" customFormat="1" x14ac:dyDescent="0.2">
      <c r="A2" s="79">
        <v>1</v>
      </c>
      <c r="B2" s="79" t="s">
        <v>65</v>
      </c>
      <c r="C2" s="79" t="s">
        <v>48</v>
      </c>
      <c r="E2" s="79" t="s">
        <v>59</v>
      </c>
    </row>
    <row r="3" spans="1:5" s="79" customFormat="1" x14ac:dyDescent="0.2">
      <c r="A3" s="79">
        <v>2</v>
      </c>
      <c r="B3" s="79" t="s">
        <v>65</v>
      </c>
      <c r="C3" s="79" t="s">
        <v>49</v>
      </c>
      <c r="E3" s="79" t="s">
        <v>59</v>
      </c>
    </row>
    <row r="4" spans="1:5" s="79" customFormat="1" x14ac:dyDescent="0.2">
      <c r="A4" s="79">
        <v>3</v>
      </c>
      <c r="B4" s="79" t="s">
        <v>65</v>
      </c>
      <c r="C4" s="79" t="s">
        <v>50</v>
      </c>
      <c r="E4" s="79" t="s">
        <v>59</v>
      </c>
    </row>
    <row r="5" spans="1:5" s="79" customFormat="1" x14ac:dyDescent="0.2">
      <c r="A5" s="79">
        <v>4</v>
      </c>
      <c r="B5" s="79" t="s">
        <v>65</v>
      </c>
      <c r="C5" s="79" t="s">
        <v>51</v>
      </c>
      <c r="E5" s="79" t="s">
        <v>59</v>
      </c>
    </row>
    <row r="6" spans="1:5" s="79" customFormat="1" x14ac:dyDescent="0.2">
      <c r="A6" s="79">
        <v>5</v>
      </c>
      <c r="B6" s="79" t="s">
        <v>65</v>
      </c>
      <c r="C6" s="79" t="s">
        <v>52</v>
      </c>
      <c r="E6" s="79" t="s">
        <v>59</v>
      </c>
    </row>
    <row r="7" spans="1:5" s="79" customFormat="1" x14ac:dyDescent="0.2">
      <c r="A7" s="79">
        <v>6</v>
      </c>
      <c r="B7" s="79" t="s">
        <v>64</v>
      </c>
      <c r="C7" s="79" t="s">
        <v>53</v>
      </c>
      <c r="E7" s="79" t="s">
        <v>58</v>
      </c>
    </row>
    <row r="8" spans="1:5" s="79" customFormat="1" x14ac:dyDescent="0.2">
      <c r="A8" s="79">
        <v>7</v>
      </c>
      <c r="B8" s="79" t="s">
        <v>64</v>
      </c>
      <c r="C8" s="79" t="s">
        <v>54</v>
      </c>
      <c r="E8" s="79" t="s">
        <v>57</v>
      </c>
    </row>
    <row r="9" spans="1:5" s="79" customFormat="1" x14ac:dyDescent="0.2">
      <c r="A9" s="79">
        <v>8</v>
      </c>
      <c r="B9" s="79" t="s">
        <v>64</v>
      </c>
      <c r="C9" s="79" t="s">
        <v>55</v>
      </c>
      <c r="E9" s="79" t="s">
        <v>58</v>
      </c>
    </row>
    <row r="10" spans="1:5" s="79" customFormat="1" ht="30" x14ac:dyDescent="0.2">
      <c r="A10" s="79">
        <v>9</v>
      </c>
      <c r="B10" s="79" t="s">
        <v>64</v>
      </c>
      <c r="C10" s="79" t="s">
        <v>60</v>
      </c>
      <c r="E10" s="79" t="s">
        <v>61</v>
      </c>
    </row>
    <row r="11" spans="1:5" s="79" customFormat="1" ht="30" x14ac:dyDescent="0.2">
      <c r="A11" s="79">
        <v>10</v>
      </c>
      <c r="B11" s="79" t="s">
        <v>64</v>
      </c>
      <c r="C11" s="79" t="s">
        <v>66</v>
      </c>
      <c r="E11" s="79" t="s">
        <v>67</v>
      </c>
    </row>
    <row r="12" spans="1:5" s="79" customFormat="1" ht="45" x14ac:dyDescent="0.2">
      <c r="A12" s="79">
        <v>10</v>
      </c>
      <c r="B12" s="79" t="s">
        <v>68</v>
      </c>
      <c r="C12" s="79" t="s">
        <v>63</v>
      </c>
      <c r="E12" s="79" t="s">
        <v>62</v>
      </c>
    </row>
    <row r="13" spans="1:5" s="79" customFormat="1" ht="30" x14ac:dyDescent="0.2">
      <c r="A13" s="79">
        <v>11</v>
      </c>
      <c r="B13" s="79" t="s">
        <v>68</v>
      </c>
      <c r="C13" s="79" t="s">
        <v>73</v>
      </c>
      <c r="E13" s="79" t="s">
        <v>71</v>
      </c>
    </row>
    <row r="14" spans="1:5" s="79" customFormat="1" x14ac:dyDescent="0.2">
      <c r="A14" s="79">
        <v>12</v>
      </c>
      <c r="C14" s="79" t="s">
        <v>74</v>
      </c>
    </row>
    <row r="15" spans="1:5" s="79" customFormat="1" x14ac:dyDescent="0.2">
      <c r="A15" s="79">
        <v>13</v>
      </c>
      <c r="C15" s="79" t="s">
        <v>75</v>
      </c>
      <c r="E15" s="79" t="s">
        <v>76</v>
      </c>
    </row>
    <row r="16" spans="1:5" s="79" customFormat="1" x14ac:dyDescent="0.2">
      <c r="A16" s="79">
        <v>14</v>
      </c>
      <c r="C16" s="79" t="s">
        <v>72</v>
      </c>
    </row>
    <row r="17" s="79" customFormat="1" x14ac:dyDescent="0.2"/>
    <row r="18" s="79" customFormat="1" x14ac:dyDescent="0.2"/>
    <row r="19" s="79" customFormat="1" x14ac:dyDescent="0.2"/>
    <row r="20" s="79" customFormat="1" x14ac:dyDescent="0.2"/>
    <row r="21" s="79" customFormat="1" x14ac:dyDescent="0.2"/>
    <row r="22" s="79" customFormat="1" x14ac:dyDescent="0.2"/>
    <row r="23" s="79" customFormat="1" x14ac:dyDescent="0.2"/>
    <row r="24" s="79" customFormat="1" x14ac:dyDescent="0.2"/>
    <row r="25" s="79" customFormat="1" x14ac:dyDescent="0.2"/>
    <row r="26" s="79" customFormat="1" x14ac:dyDescent="0.2"/>
    <row r="27" s="79" customFormat="1" x14ac:dyDescent="0.2"/>
    <row r="28" s="79" customFormat="1" x14ac:dyDescent="0.2"/>
    <row r="29" s="79" customFormat="1" x14ac:dyDescent="0.2"/>
    <row r="30" s="79" customFormat="1" x14ac:dyDescent="0.2"/>
    <row r="31" s="79" customFormat="1" x14ac:dyDescent="0.2"/>
    <row r="32" s="79" customFormat="1" x14ac:dyDescent="0.2"/>
    <row r="33" s="79" customFormat="1" x14ac:dyDescent="0.2"/>
  </sheetData>
  <dataValidations count="1">
    <dataValidation type="list" allowBlank="1" showInputMessage="1" showErrorMessage="1" sqref="D2:D36">
      <formula1>"1,2,3,4,5,6,7,8,9,10"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Sheet1</vt:lpstr>
      <vt:lpstr>Rakesh 3-21</vt:lpstr>
      <vt:lpstr>Q&amp;A</vt:lpstr>
    </vt:vector>
  </TitlesOfParts>
  <Company>BMC Software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Lynn</dc:creator>
  <cp:lastModifiedBy>Microsoft Office User</cp:lastModifiedBy>
  <cp:lastPrinted>2012-05-30T00:29:35Z</cp:lastPrinted>
  <dcterms:created xsi:type="dcterms:W3CDTF">2012-05-29T13:58:34Z</dcterms:created>
  <dcterms:modified xsi:type="dcterms:W3CDTF">2017-03-23T12:25:30Z</dcterms:modified>
</cp:coreProperties>
</file>